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rewers_ic_ac_uk/Documents/work/SAFE Project/Data cleaning/File of finished data for ROB/"/>
    </mc:Choice>
  </mc:AlternateContent>
  <xr:revisionPtr revIDLastSave="2" documentId="13_ncr:1_{64C4B722-B2DA-40C2-88E4-DF86AFB52645}" xr6:coauthVersionLast="47" xr6:coauthVersionMax="47" xr10:uidLastSave="{943134F3-7949-48AD-AF36-71767AB08A13}"/>
  <bookViews>
    <workbookView xWindow="1170" yWindow="1170" windowWidth="21600" windowHeight="11385" activeTab="3" xr2:uid="{00000000-000D-0000-FFFF-FFFF00000000}"/>
  </bookViews>
  <sheets>
    <sheet name="Summary" sheetId="1" r:id="rId1"/>
    <sheet name="Taxa" sheetId="5" r:id="rId2"/>
    <sheet name="Locations" sheetId="3" r:id="rId3"/>
    <sheet name="Wood_anatomical_traits" sheetId="4" r:id="rId4"/>
  </sheets>
  <definedNames>
    <definedName name="_xlnm._FilterDatabase" localSheetId="3" hidden="1">Wood_anatomical_traits!$A$7:$S$603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603" i="4" l="1"/>
  <c r="S602" i="4"/>
  <c r="S601" i="4"/>
  <c r="S600" i="4"/>
  <c r="S599" i="4"/>
  <c r="S598" i="4"/>
  <c r="S597" i="4"/>
  <c r="S596" i="4"/>
  <c r="S595" i="4"/>
  <c r="S594" i="4"/>
  <c r="S593" i="4"/>
  <c r="S592" i="4"/>
  <c r="S591" i="4"/>
  <c r="S590" i="4"/>
  <c r="S589" i="4"/>
  <c r="S588" i="4"/>
  <c r="S587" i="4"/>
  <c r="S586" i="4"/>
  <c r="S585" i="4"/>
  <c r="S584" i="4"/>
  <c r="S583" i="4"/>
  <c r="S582" i="4"/>
  <c r="S581" i="4"/>
  <c r="S580" i="4"/>
  <c r="S579" i="4"/>
  <c r="S578" i="4"/>
  <c r="S577" i="4"/>
  <c r="S576" i="4"/>
  <c r="S575" i="4"/>
  <c r="S574" i="4"/>
  <c r="S573" i="4"/>
  <c r="S572" i="4"/>
  <c r="S571" i="4"/>
  <c r="S570" i="4"/>
  <c r="S569" i="4"/>
  <c r="S568" i="4"/>
  <c r="S567" i="4"/>
  <c r="S566" i="4"/>
  <c r="S565" i="4"/>
  <c r="S564" i="4"/>
  <c r="S563" i="4"/>
  <c r="S562" i="4"/>
  <c r="S561" i="4"/>
  <c r="S560" i="4"/>
  <c r="S559" i="4"/>
  <c r="S558" i="4"/>
  <c r="S557" i="4"/>
  <c r="S556" i="4"/>
  <c r="S555" i="4"/>
  <c r="S554" i="4"/>
  <c r="S553" i="4"/>
  <c r="S552" i="4"/>
  <c r="S551" i="4"/>
  <c r="S550" i="4"/>
  <c r="S549" i="4"/>
  <c r="S548" i="4"/>
  <c r="S547" i="4"/>
  <c r="S546" i="4"/>
  <c r="S545" i="4"/>
  <c r="S544" i="4"/>
  <c r="S543" i="4"/>
  <c r="S542" i="4"/>
  <c r="S541" i="4"/>
  <c r="S540" i="4"/>
  <c r="S539" i="4"/>
  <c r="S538" i="4"/>
  <c r="S537" i="4"/>
  <c r="S536" i="4"/>
  <c r="S535" i="4"/>
  <c r="S534" i="4"/>
  <c r="S533" i="4"/>
  <c r="S532" i="4"/>
  <c r="S531" i="4"/>
  <c r="S530" i="4"/>
  <c r="S529" i="4"/>
  <c r="S528" i="4"/>
  <c r="S527" i="4"/>
  <c r="S526" i="4"/>
  <c r="S525" i="4"/>
  <c r="S524" i="4"/>
  <c r="S523" i="4"/>
  <c r="S522" i="4"/>
  <c r="S521" i="4"/>
  <c r="S520" i="4"/>
  <c r="S519" i="4"/>
  <c r="S518" i="4"/>
  <c r="S517" i="4"/>
  <c r="S516" i="4"/>
  <c r="S515" i="4"/>
  <c r="S514" i="4"/>
  <c r="S513" i="4"/>
  <c r="S512" i="4"/>
  <c r="S511" i="4"/>
  <c r="S510" i="4"/>
  <c r="S509" i="4"/>
  <c r="S508" i="4"/>
  <c r="S507" i="4"/>
  <c r="S506" i="4"/>
  <c r="S505" i="4"/>
  <c r="S504" i="4"/>
  <c r="S503" i="4"/>
  <c r="S502" i="4"/>
  <c r="S501" i="4"/>
  <c r="S500" i="4"/>
  <c r="S499" i="4"/>
  <c r="S498" i="4"/>
  <c r="S497" i="4"/>
  <c r="S496" i="4"/>
  <c r="S495" i="4"/>
  <c r="S494" i="4"/>
  <c r="S493" i="4"/>
  <c r="S492" i="4"/>
  <c r="S491" i="4"/>
  <c r="S490" i="4"/>
  <c r="S489" i="4"/>
  <c r="S488" i="4"/>
  <c r="S487" i="4"/>
  <c r="S486" i="4"/>
  <c r="S485" i="4"/>
  <c r="S484" i="4"/>
  <c r="S483" i="4"/>
  <c r="S482" i="4"/>
  <c r="S481" i="4"/>
  <c r="S480" i="4"/>
  <c r="S479" i="4"/>
  <c r="S478" i="4"/>
  <c r="S477" i="4"/>
  <c r="S476" i="4"/>
  <c r="S475" i="4"/>
  <c r="S474" i="4"/>
  <c r="S473" i="4"/>
  <c r="S472" i="4"/>
  <c r="S471" i="4"/>
  <c r="S470" i="4"/>
  <c r="S469" i="4"/>
  <c r="S468" i="4"/>
  <c r="S467" i="4"/>
  <c r="S466" i="4"/>
  <c r="S465" i="4"/>
  <c r="S464" i="4"/>
  <c r="S463" i="4"/>
  <c r="S462" i="4"/>
  <c r="S461" i="4"/>
  <c r="S460" i="4"/>
  <c r="S459" i="4"/>
  <c r="S458" i="4"/>
  <c r="S457" i="4"/>
  <c r="S456" i="4"/>
  <c r="S455" i="4"/>
  <c r="S454" i="4"/>
  <c r="S453" i="4"/>
  <c r="S452" i="4"/>
  <c r="S451" i="4"/>
  <c r="S450" i="4"/>
  <c r="S449" i="4"/>
  <c r="S448" i="4"/>
  <c r="S447" i="4"/>
  <c r="S446" i="4"/>
  <c r="S445" i="4"/>
  <c r="S444" i="4"/>
  <c r="S443" i="4"/>
  <c r="S442" i="4"/>
  <c r="S441" i="4"/>
  <c r="S440" i="4"/>
  <c r="S439" i="4"/>
  <c r="S438" i="4"/>
  <c r="S437" i="4"/>
  <c r="S436" i="4"/>
  <c r="S435" i="4"/>
  <c r="S434" i="4"/>
  <c r="S433" i="4"/>
  <c r="S432" i="4"/>
  <c r="S431" i="4"/>
  <c r="S430" i="4"/>
  <c r="S429" i="4"/>
  <c r="S428" i="4"/>
  <c r="S427" i="4"/>
  <c r="S426" i="4"/>
  <c r="S425" i="4"/>
  <c r="S424" i="4"/>
  <c r="S423" i="4"/>
  <c r="S422" i="4"/>
  <c r="S421" i="4"/>
  <c r="S420" i="4"/>
  <c r="S419" i="4"/>
  <c r="S418" i="4"/>
  <c r="S417" i="4"/>
  <c r="S416" i="4"/>
  <c r="S415" i="4"/>
  <c r="S414" i="4"/>
  <c r="S413" i="4"/>
  <c r="S412" i="4"/>
  <c r="S411" i="4"/>
  <c r="S410" i="4"/>
  <c r="S409" i="4"/>
  <c r="S408" i="4"/>
  <c r="S407" i="4"/>
  <c r="S406" i="4"/>
  <c r="S405" i="4"/>
  <c r="S404" i="4"/>
  <c r="S403" i="4"/>
  <c r="S402" i="4"/>
  <c r="S401" i="4"/>
  <c r="S400" i="4"/>
  <c r="S399" i="4"/>
  <c r="S398" i="4"/>
  <c r="S397" i="4"/>
  <c r="S396" i="4"/>
  <c r="S395" i="4"/>
  <c r="S394" i="4"/>
  <c r="S393" i="4"/>
  <c r="S392" i="4"/>
  <c r="S391" i="4"/>
  <c r="S390" i="4"/>
  <c r="S389" i="4"/>
  <c r="S388" i="4"/>
  <c r="S387" i="4"/>
  <c r="S386" i="4"/>
  <c r="S385" i="4"/>
  <c r="S384" i="4"/>
  <c r="S383" i="4"/>
  <c r="S382" i="4"/>
  <c r="S381" i="4"/>
  <c r="S380" i="4"/>
  <c r="S379" i="4"/>
  <c r="S378" i="4"/>
  <c r="S377" i="4"/>
  <c r="S376" i="4"/>
  <c r="S375" i="4"/>
  <c r="S374" i="4"/>
  <c r="S373" i="4"/>
  <c r="S372" i="4"/>
  <c r="S371" i="4"/>
  <c r="S370" i="4"/>
  <c r="S369" i="4"/>
  <c r="S368" i="4"/>
  <c r="S367" i="4"/>
  <c r="S366" i="4"/>
  <c r="S365" i="4"/>
  <c r="S364" i="4"/>
  <c r="S363" i="4"/>
  <c r="S362" i="4"/>
  <c r="S361" i="4"/>
  <c r="S360" i="4"/>
  <c r="S359" i="4"/>
  <c r="S358" i="4"/>
  <c r="S357" i="4"/>
  <c r="S356" i="4"/>
  <c r="S355" i="4"/>
  <c r="S354" i="4"/>
  <c r="S353" i="4"/>
  <c r="S352" i="4"/>
  <c r="S351" i="4"/>
  <c r="S350" i="4"/>
  <c r="S349" i="4"/>
  <c r="S348" i="4"/>
  <c r="S347" i="4"/>
  <c r="S346" i="4"/>
  <c r="S345" i="4"/>
  <c r="S344" i="4"/>
  <c r="S343" i="4"/>
  <c r="S342" i="4"/>
  <c r="S341" i="4"/>
  <c r="S340" i="4"/>
  <c r="S339" i="4"/>
  <c r="S338" i="4"/>
  <c r="S337" i="4"/>
  <c r="S336" i="4"/>
  <c r="S335" i="4"/>
  <c r="S334" i="4"/>
  <c r="S333" i="4"/>
  <c r="S332" i="4"/>
  <c r="S331" i="4"/>
  <c r="S330" i="4"/>
  <c r="S329" i="4"/>
  <c r="S328" i="4"/>
  <c r="S327" i="4"/>
  <c r="S326" i="4"/>
  <c r="S325" i="4"/>
  <c r="S324" i="4"/>
  <c r="S323" i="4"/>
  <c r="S322" i="4"/>
  <c r="S321" i="4"/>
  <c r="S320" i="4"/>
  <c r="S319" i="4"/>
  <c r="S318" i="4"/>
  <c r="S317" i="4"/>
  <c r="S316" i="4"/>
  <c r="S315" i="4"/>
  <c r="S314" i="4"/>
  <c r="S313" i="4"/>
  <c r="S312" i="4"/>
  <c r="S311" i="4"/>
  <c r="S310" i="4"/>
  <c r="S309" i="4"/>
  <c r="S308" i="4"/>
  <c r="S307" i="4"/>
  <c r="S306" i="4"/>
  <c r="S305" i="4"/>
  <c r="S304" i="4"/>
  <c r="S303" i="4"/>
  <c r="S302" i="4"/>
  <c r="S301" i="4"/>
  <c r="S300" i="4"/>
  <c r="S299" i="4"/>
  <c r="S298" i="4"/>
  <c r="S297" i="4"/>
  <c r="S296" i="4"/>
  <c r="S295" i="4"/>
  <c r="S294" i="4"/>
  <c r="S293" i="4"/>
  <c r="S292" i="4"/>
  <c r="S291" i="4"/>
  <c r="S290" i="4"/>
  <c r="S289" i="4"/>
  <c r="S288" i="4"/>
  <c r="S287" i="4"/>
  <c r="S286" i="4"/>
  <c r="S285" i="4"/>
  <c r="S284" i="4"/>
  <c r="S283" i="4"/>
  <c r="S282" i="4"/>
  <c r="S281" i="4"/>
  <c r="S280" i="4"/>
  <c r="S279" i="4"/>
  <c r="S278" i="4"/>
  <c r="S277" i="4"/>
  <c r="S276" i="4"/>
  <c r="S275" i="4"/>
  <c r="S274" i="4"/>
  <c r="S273" i="4"/>
  <c r="S272" i="4"/>
  <c r="S271" i="4"/>
  <c r="S270" i="4"/>
  <c r="S269" i="4"/>
  <c r="S268" i="4"/>
  <c r="S267" i="4"/>
  <c r="S266" i="4"/>
  <c r="S265" i="4"/>
  <c r="S264" i="4"/>
  <c r="S263" i="4"/>
  <c r="S262" i="4"/>
  <c r="S261" i="4"/>
  <c r="S260" i="4"/>
  <c r="S259" i="4"/>
  <c r="S258" i="4"/>
  <c r="S257" i="4"/>
  <c r="S256" i="4"/>
  <c r="S255" i="4"/>
  <c r="S254" i="4"/>
  <c r="S253" i="4"/>
  <c r="S252" i="4"/>
  <c r="S251" i="4"/>
  <c r="S250" i="4"/>
  <c r="S249" i="4"/>
  <c r="S248" i="4"/>
  <c r="S247" i="4"/>
  <c r="S246" i="4"/>
  <c r="S245" i="4"/>
  <c r="S244" i="4"/>
  <c r="S243" i="4"/>
  <c r="S242" i="4"/>
  <c r="S241" i="4"/>
  <c r="S240" i="4"/>
  <c r="S239" i="4"/>
  <c r="S238" i="4"/>
  <c r="S237" i="4"/>
  <c r="S236" i="4"/>
  <c r="S235" i="4"/>
  <c r="S234" i="4"/>
  <c r="S233" i="4"/>
  <c r="S232" i="4"/>
  <c r="S231" i="4"/>
  <c r="S230" i="4"/>
  <c r="S229" i="4"/>
  <c r="S228" i="4"/>
  <c r="S227" i="4"/>
  <c r="S226" i="4"/>
  <c r="S225" i="4"/>
  <c r="S224" i="4"/>
  <c r="S223" i="4"/>
  <c r="S222" i="4"/>
  <c r="S221" i="4"/>
  <c r="S220" i="4"/>
  <c r="S219" i="4"/>
  <c r="S218" i="4"/>
  <c r="S217" i="4"/>
  <c r="S216" i="4"/>
  <c r="S215" i="4"/>
  <c r="S214" i="4"/>
  <c r="S213" i="4"/>
  <c r="S212" i="4"/>
  <c r="S211" i="4"/>
  <c r="S210" i="4"/>
  <c r="S209" i="4"/>
  <c r="S208" i="4"/>
  <c r="S207" i="4"/>
  <c r="S206" i="4"/>
  <c r="S205" i="4"/>
  <c r="S204" i="4"/>
  <c r="S203" i="4"/>
  <c r="S202" i="4"/>
  <c r="S201" i="4"/>
  <c r="S200" i="4"/>
  <c r="S199" i="4"/>
  <c r="S198" i="4"/>
  <c r="S197" i="4"/>
  <c r="S196" i="4"/>
  <c r="S195" i="4"/>
  <c r="S194" i="4"/>
  <c r="S193" i="4"/>
  <c r="S192" i="4"/>
  <c r="S191" i="4"/>
  <c r="S190" i="4"/>
  <c r="S189" i="4"/>
  <c r="S188" i="4"/>
  <c r="S187" i="4"/>
  <c r="S186" i="4"/>
  <c r="S185" i="4"/>
  <c r="S184" i="4"/>
  <c r="S183" i="4"/>
  <c r="S182" i="4"/>
  <c r="S181" i="4"/>
  <c r="S180" i="4"/>
  <c r="S179" i="4"/>
  <c r="S178" i="4"/>
  <c r="S177" i="4"/>
  <c r="S176" i="4"/>
  <c r="S175" i="4"/>
  <c r="S174" i="4"/>
  <c r="S173" i="4"/>
  <c r="S172" i="4"/>
  <c r="S171" i="4"/>
  <c r="S170" i="4"/>
  <c r="S169" i="4"/>
  <c r="S168" i="4"/>
  <c r="S167" i="4"/>
  <c r="S166" i="4"/>
  <c r="S165" i="4"/>
  <c r="S164" i="4"/>
  <c r="S163" i="4"/>
  <c r="S162" i="4"/>
  <c r="S161" i="4"/>
  <c r="S160" i="4"/>
  <c r="S159" i="4"/>
  <c r="S158" i="4"/>
  <c r="S157" i="4"/>
  <c r="S156" i="4"/>
  <c r="S155" i="4"/>
  <c r="S154" i="4"/>
  <c r="S153" i="4"/>
  <c r="S152" i="4"/>
  <c r="S151" i="4"/>
  <c r="S150" i="4"/>
  <c r="S149" i="4"/>
  <c r="S148" i="4"/>
  <c r="S147" i="4"/>
  <c r="S146" i="4"/>
  <c r="S145" i="4"/>
  <c r="S144" i="4"/>
  <c r="S143" i="4"/>
  <c r="S142" i="4"/>
  <c r="S141" i="4"/>
  <c r="S140" i="4"/>
  <c r="S139" i="4"/>
  <c r="S138" i="4"/>
  <c r="S137" i="4"/>
  <c r="S136" i="4"/>
  <c r="S135" i="4"/>
  <c r="S134" i="4"/>
  <c r="S133" i="4"/>
  <c r="S132" i="4"/>
  <c r="S131" i="4"/>
  <c r="S130" i="4"/>
  <c r="S129" i="4"/>
  <c r="S128" i="4"/>
  <c r="S127" i="4"/>
  <c r="S126" i="4"/>
  <c r="S125" i="4"/>
  <c r="S124" i="4"/>
  <c r="S123" i="4"/>
  <c r="S122" i="4"/>
  <c r="S121" i="4"/>
  <c r="S120" i="4"/>
  <c r="S119" i="4"/>
  <c r="S118" i="4"/>
  <c r="S117" i="4"/>
  <c r="S116" i="4"/>
  <c r="S115" i="4"/>
  <c r="S114" i="4"/>
  <c r="S113" i="4"/>
  <c r="S112" i="4"/>
  <c r="S111" i="4"/>
  <c r="S110" i="4"/>
  <c r="S109" i="4"/>
  <c r="S108" i="4"/>
  <c r="S107" i="4"/>
  <c r="S106" i="4"/>
  <c r="S105" i="4"/>
  <c r="S104" i="4"/>
  <c r="S103" i="4"/>
  <c r="S102" i="4"/>
  <c r="S101" i="4"/>
  <c r="S100" i="4"/>
  <c r="S99" i="4"/>
  <c r="S98" i="4"/>
  <c r="S97" i="4"/>
  <c r="S96" i="4"/>
  <c r="S95" i="4"/>
  <c r="S94" i="4"/>
  <c r="S93" i="4"/>
  <c r="S92" i="4"/>
  <c r="S91" i="4"/>
  <c r="S90" i="4"/>
  <c r="S89" i="4"/>
  <c r="S88" i="4"/>
  <c r="S87" i="4"/>
  <c r="S86" i="4"/>
  <c r="S85" i="4"/>
  <c r="S84" i="4"/>
  <c r="S83" i="4"/>
  <c r="S82" i="4"/>
  <c r="S81" i="4"/>
  <c r="S80" i="4"/>
  <c r="S79" i="4"/>
  <c r="S78" i="4"/>
  <c r="S77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51" i="4"/>
  <c r="S50" i="4"/>
  <c r="S49" i="4"/>
  <c r="S48" i="4"/>
  <c r="S47" i="4"/>
  <c r="S46" i="4"/>
  <c r="S45" i="4"/>
  <c r="S44" i="4"/>
  <c r="S43" i="4"/>
  <c r="S42" i="4"/>
  <c r="S41" i="4"/>
  <c r="S40" i="4"/>
  <c r="S39" i="4"/>
  <c r="S38" i="4"/>
  <c r="S37" i="4"/>
  <c r="S36" i="4"/>
  <c r="S35" i="4"/>
  <c r="S34" i="4"/>
  <c r="S33" i="4"/>
  <c r="S32" i="4"/>
  <c r="S31" i="4"/>
  <c r="S30" i="4"/>
  <c r="S29" i="4"/>
  <c r="S28" i="4"/>
  <c r="S27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S8" i="4"/>
</calcChain>
</file>

<file path=xl/sharedStrings.xml><?xml version="1.0" encoding="utf-8"?>
<sst xmlns="http://schemas.openxmlformats.org/spreadsheetml/2006/main" count="5123" uniqueCount="1030">
  <si>
    <t>SAFE Project ID</t>
  </si>
  <si>
    <t>Access status</t>
  </si>
  <si>
    <t>Embargo</t>
  </si>
  <si>
    <t>Title</t>
  </si>
  <si>
    <t>Description</t>
  </si>
  <si>
    <t>Embargo date</t>
  </si>
  <si>
    <t>Author name</t>
  </si>
  <si>
    <t>Both, Sabine</t>
  </si>
  <si>
    <t xml:space="preserve">Burslem, David F. R. P. </t>
  </si>
  <si>
    <t>Author email</t>
  </si>
  <si>
    <t>d.burslem@abdn.ac.uk</t>
  </si>
  <si>
    <t>Author affiliation</t>
  </si>
  <si>
    <t>University of New England, Australia; University of Aberdeen, UK</t>
  </si>
  <si>
    <t>University of Aberdeen, UK</t>
  </si>
  <si>
    <t>Author ORCID</t>
  </si>
  <si>
    <t>0000-0003-4437-5106</t>
  </si>
  <si>
    <t>Worksheet name</t>
  </si>
  <si>
    <t>Worksheet title</t>
  </si>
  <si>
    <t>Worksheet description</t>
  </si>
  <si>
    <t>Keywords</t>
  </si>
  <si>
    <t>trees</t>
  </si>
  <si>
    <t>old-growth forest</t>
  </si>
  <si>
    <t>selectively logged forest</t>
  </si>
  <si>
    <t>Permit type</t>
  </si>
  <si>
    <t>Research</t>
  </si>
  <si>
    <t>Permit authority</t>
  </si>
  <si>
    <t>Sabah Biodiversity Centre</t>
  </si>
  <si>
    <t>Permit number</t>
  </si>
  <si>
    <t>JKM/MBS.1000-2.2(385)</t>
  </si>
  <si>
    <t>Publication DOI</t>
  </si>
  <si>
    <t>Funding body</t>
  </si>
  <si>
    <t>NERC</t>
  </si>
  <si>
    <t>Funding type</t>
  </si>
  <si>
    <t>Standard grant</t>
  </si>
  <si>
    <t>Funding reference</t>
  </si>
  <si>
    <t>NE/K016253/1</t>
  </si>
  <si>
    <t>Start Date</t>
  </si>
  <si>
    <t>End Date</t>
  </si>
  <si>
    <t>West</t>
  </si>
  <si>
    <t>East</t>
  </si>
  <si>
    <t>South</t>
  </si>
  <si>
    <t>North</t>
  </si>
  <si>
    <t>Name</t>
  </si>
  <si>
    <t>Taxon name</t>
  </si>
  <si>
    <t>Taxon type</t>
  </si>
  <si>
    <t>Taxon ID</t>
  </si>
  <si>
    <t>Parent name</t>
  </si>
  <si>
    <t>Parent type</t>
  </si>
  <si>
    <t>Parent ID</t>
  </si>
  <si>
    <t>Species</t>
  </si>
  <si>
    <t>Macaranga gigantea</t>
  </si>
  <si>
    <t>Vatica dulitensis</t>
  </si>
  <si>
    <t>Location name</t>
  </si>
  <si>
    <t>New</t>
  </si>
  <si>
    <t>Latitude</t>
  </si>
  <si>
    <t>Longitude</t>
  </si>
  <si>
    <t>Type</t>
  </si>
  <si>
    <t>No</t>
  </si>
  <si>
    <t>Car_Ser</t>
  </si>
  <si>
    <t>Car_BN</t>
  </si>
  <si>
    <t>Car_BS</t>
  </si>
  <si>
    <t>Car_E</t>
  </si>
  <si>
    <t>field_type</t>
  </si>
  <si>
    <t>Categorical</t>
  </si>
  <si>
    <t>ID</t>
  </si>
  <si>
    <t>Date</t>
  </si>
  <si>
    <t>Taxa</t>
  </si>
  <si>
    <t>Numeric trait</t>
  </si>
  <si>
    <t>description</t>
  </si>
  <si>
    <t>Location</t>
  </si>
  <si>
    <t>Forest type: OG: old-growth plots, Maliau and Danum; SL: selectively logged plots at SAFE</t>
  </si>
  <si>
    <t>Plot name coherent with forestplots database</t>
  </si>
  <si>
    <t>Plot name used during the BALI trait campaign</t>
  </si>
  <si>
    <t xml:space="preserve">Sample code referencing: plot-'T'(ree) ID-branch type </t>
  </si>
  <si>
    <t>Binary classification of branch sampled depending on their position in the tree crown. BS: sun branch; BSH: shade branch</t>
  </si>
  <si>
    <t>Date of sampling</t>
  </si>
  <si>
    <t>Reference for tree tag label</t>
  </si>
  <si>
    <t>Tree species</t>
  </si>
  <si>
    <t>levels</t>
  </si>
  <si>
    <t>OG;SL</t>
  </si>
  <si>
    <t>BS;BSH</t>
  </si>
  <si>
    <t>taxon_field</t>
  </si>
  <si>
    <t>species</t>
  </si>
  <si>
    <t>units</t>
  </si>
  <si>
    <t>method</t>
  </si>
  <si>
    <t>Observation</t>
  </si>
  <si>
    <t>field_name</t>
  </si>
  <si>
    <t>location</t>
  </si>
  <si>
    <t>forest_type</t>
  </si>
  <si>
    <t>forestplots_name</t>
  </si>
  <si>
    <t>plot_name_trait_campaign</t>
  </si>
  <si>
    <t>sample_code</t>
  </si>
  <si>
    <t>branch_type</t>
  </si>
  <si>
    <t>sampling_date</t>
  </si>
  <si>
    <t>tree_id</t>
  </si>
  <si>
    <t>OG</t>
  </si>
  <si>
    <t>BSH</t>
  </si>
  <si>
    <t>BS</t>
  </si>
  <si>
    <t>SL</t>
  </si>
  <si>
    <t>SAF-02</t>
  </si>
  <si>
    <t>BNT</t>
  </si>
  <si>
    <t>BNT-T235-BSH</t>
  </si>
  <si>
    <t>BNT-T3300-BS</t>
  </si>
  <si>
    <t>BNT-T3494-BS</t>
  </si>
  <si>
    <t>SAF-01</t>
  </si>
  <si>
    <t>BSO</t>
  </si>
  <si>
    <t>BSO-T415-BS</t>
  </si>
  <si>
    <t>BSO-T418-BSH</t>
  </si>
  <si>
    <t>SAF-03</t>
  </si>
  <si>
    <t>ESA</t>
  </si>
  <si>
    <t>ESA-T42-BS</t>
  </si>
  <si>
    <t>MLA-02</t>
  </si>
  <si>
    <t>SER</t>
  </si>
  <si>
    <t>SER-T461-BSH</t>
  </si>
  <si>
    <t>SER-T464-BSH</t>
  </si>
  <si>
    <t>SER-T470-BSH</t>
  </si>
  <si>
    <t>SER-T474-BSH</t>
  </si>
  <si>
    <t>SER-T483-BSH</t>
  </si>
  <si>
    <t>SER-T485-BSH</t>
  </si>
  <si>
    <t>palasiahjotan@gmail.com</t>
  </si>
  <si>
    <t>colinr@ums.edu.my</t>
  </si>
  <si>
    <t>Universiti Malaysia Sabah, Kota Kinabalu, Malaysia</t>
  </si>
  <si>
    <t>Wood_anatomical_traits</t>
  </si>
  <si>
    <t>anatomical traits</t>
  </si>
  <si>
    <t>wood traits</t>
  </si>
  <si>
    <t>unitless</t>
  </si>
  <si>
    <t>Anatomical wood traits of tree species in old-growth and selectively logged forest</t>
  </si>
  <si>
    <t>Traits matrix of wood anatomical characteristics for tree species in selectively logged forest at SAFE and in old-growth forest in Danum Valley and Maliau Basin. Sampled during the BALI project traits campaign</t>
  </si>
  <si>
    <t>Actinodaphne</t>
  </si>
  <si>
    <t>Genus</t>
  </si>
  <si>
    <t>Adinandra dumosa</t>
  </si>
  <si>
    <t>Aglaia crassinervia</t>
  </si>
  <si>
    <t>Aglaia leptantha</t>
  </si>
  <si>
    <t>Aglaia macrocarpa</t>
  </si>
  <si>
    <t>Aglaia odoratissima</t>
  </si>
  <si>
    <t>Aglaia oligophylla</t>
  </si>
  <si>
    <t>Aglaia silvestris</t>
  </si>
  <si>
    <t>Aglaia tomentosa</t>
  </si>
  <si>
    <t>Alangium javanicum</t>
  </si>
  <si>
    <t>Alstonia angustiloba</t>
  </si>
  <si>
    <t>Antiaris toxicaria</t>
  </si>
  <si>
    <t>Aphanamixis polystachya</t>
  </si>
  <si>
    <t>Aporosa confusa</t>
  </si>
  <si>
    <t>Aporosa falcifera</t>
  </si>
  <si>
    <t>Aporusa</t>
  </si>
  <si>
    <t>Aquilaria beccariana</t>
  </si>
  <si>
    <t>Archidendron clypearia</t>
  </si>
  <si>
    <t>Ardisia macrophylla</t>
  </si>
  <si>
    <t>Artocarpus anisophyllus</t>
  </si>
  <si>
    <t>Artocarpus glaucus</t>
  </si>
  <si>
    <t>Artocarpus integer</t>
  </si>
  <si>
    <t>Artocarpus odoratissimus</t>
  </si>
  <si>
    <t>Artocarpus tamaran</t>
  </si>
  <si>
    <t>Baccaurea lanceolata</t>
  </si>
  <si>
    <t>Baccaurea macrocarpa</t>
  </si>
  <si>
    <t>Baccaurea tetrandra</t>
  </si>
  <si>
    <t>Barringtonia lanceolata</t>
  </si>
  <si>
    <t>Barringtonia macrostachya</t>
  </si>
  <si>
    <t>Barringtonia sarcostachys</t>
  </si>
  <si>
    <t>Beilschmiedia micrantha</t>
  </si>
  <si>
    <t>Beilschmiedia</t>
  </si>
  <si>
    <t>Bhesa paniculata</t>
  </si>
  <si>
    <t>Blumeodendron kurzii</t>
  </si>
  <si>
    <t>Blumeodendron tokbrai</t>
  </si>
  <si>
    <t>Callicarpa pentandra</t>
  </si>
  <si>
    <t>Calophyllum soulattri</t>
  </si>
  <si>
    <t>Canarium decumanum</t>
  </si>
  <si>
    <t>Canarium denticulatum</t>
  </si>
  <si>
    <t>Canarium odontophyllum</t>
  </si>
  <si>
    <t>Canarium pilosum</t>
  </si>
  <si>
    <t>Caryodaphnopsis tonkinensis</t>
  </si>
  <si>
    <t>Castanopsis hypophoenicea</t>
  </si>
  <si>
    <t>Chionanthus macrocarpus</t>
  </si>
  <si>
    <t>Chionanthus pluriflorus</t>
  </si>
  <si>
    <t>Chisocheton ceramicus</t>
  </si>
  <si>
    <t>Chisocheton macranthus</t>
  </si>
  <si>
    <t>Chisocheton patens</t>
  </si>
  <si>
    <t>Chisocheton</t>
  </si>
  <si>
    <t>Cleistanthus hirsutulus</t>
  </si>
  <si>
    <t>Cleistanthus hylandii</t>
  </si>
  <si>
    <t>Cleistanthus</t>
  </si>
  <si>
    <t>Cleistanthus myrianthus</t>
  </si>
  <si>
    <t>Cratoxylum</t>
  </si>
  <si>
    <t>Family</t>
  </si>
  <si>
    <t>Crudia reticulata</t>
  </si>
  <si>
    <t>Cryptocarya nigra</t>
  </si>
  <si>
    <t>Cryptocarya nitens</t>
  </si>
  <si>
    <t>Cyathocalyx</t>
  </si>
  <si>
    <t>Cynometra mirabilis</t>
  </si>
  <si>
    <t>Dacryodes rostrata</t>
  </si>
  <si>
    <t>Dacryodes rugosa</t>
  </si>
  <si>
    <t>Dehaasia caesia</t>
  </si>
  <si>
    <t>Dehaasia incrassata</t>
  </si>
  <si>
    <t>Dendrocnide elliptica</t>
  </si>
  <si>
    <t>Dialium indum</t>
  </si>
  <si>
    <t>Dialium kunstleri</t>
  </si>
  <si>
    <t>Dimocarpus longan</t>
  </si>
  <si>
    <t>Diospyros andamanica</t>
  </si>
  <si>
    <t>Diospyros curranii</t>
  </si>
  <si>
    <t>Diospyros daemona</t>
  </si>
  <si>
    <t>Diospyros dictyoneura</t>
  </si>
  <si>
    <t>Diospyros macrophylla</t>
  </si>
  <si>
    <t>Diospyros muricata</t>
  </si>
  <si>
    <t>Diospyros tuberculata</t>
  </si>
  <si>
    <t>Diospyros pilosanthera</t>
  </si>
  <si>
    <t>Dipterocarpus caudiferus</t>
  </si>
  <si>
    <t>Dryobalanops lanceolata</t>
  </si>
  <si>
    <t>Drypetes longifolia</t>
  </si>
  <si>
    <t>Duabanga moluccana</t>
  </si>
  <si>
    <t>Durio grandiflorus</t>
  </si>
  <si>
    <t>Durio graveolens</t>
  </si>
  <si>
    <t>Dysoxylum</t>
  </si>
  <si>
    <t>Dysoxylum cyrtobotryum</t>
  </si>
  <si>
    <t>Dysoxylum densiflorum</t>
  </si>
  <si>
    <t>Elaeocarpus floribundus</t>
  </si>
  <si>
    <t>Elaeocarpus pedunculatus</t>
  </si>
  <si>
    <t>Elaeocarpus stipularis</t>
  </si>
  <si>
    <t>Eusideroxylon zwageri</t>
  </si>
  <si>
    <t>Ficus hispida</t>
  </si>
  <si>
    <t>Ficus septica</t>
  </si>
  <si>
    <t>Ficus uncinata</t>
  </si>
  <si>
    <t>Ficus variegata</t>
  </si>
  <si>
    <t>Fordia brachybotrys</t>
  </si>
  <si>
    <t>Fordia splendidissima</t>
  </si>
  <si>
    <t>Garcinia benthamiana</t>
  </si>
  <si>
    <t>Garcinia forbesii</t>
  </si>
  <si>
    <t>Garcinia parvifolia</t>
  </si>
  <si>
    <t>Glochidion</t>
  </si>
  <si>
    <t>Glochidion lutescens</t>
  </si>
  <si>
    <t>Glochidion rubrum</t>
  </si>
  <si>
    <t>Gluta aptera</t>
  </si>
  <si>
    <t>Gluta wallichii</t>
  </si>
  <si>
    <t>Heritiera elata</t>
  </si>
  <si>
    <t>Homalium foetidum</t>
  </si>
  <si>
    <t>Hopea plagata</t>
  </si>
  <si>
    <t>Hopea sangal</t>
  </si>
  <si>
    <t>Horsfieldia crassifolia</t>
  </si>
  <si>
    <t>Hydnocarpus</t>
  </si>
  <si>
    <t>Irvingia malayana</t>
  </si>
  <si>
    <t>Kayea oblongifolia</t>
  </si>
  <si>
    <t>Knema glauca</t>
  </si>
  <si>
    <t>Knema latifolia</t>
  </si>
  <si>
    <t>Knema laurina</t>
  </si>
  <si>
    <t>Knema oblongata</t>
  </si>
  <si>
    <t>Knema</t>
  </si>
  <si>
    <t>Lansium domesticum</t>
  </si>
  <si>
    <t>Licania splendens</t>
  </si>
  <si>
    <t>Lindera lucida</t>
  </si>
  <si>
    <t>Lithocarpus blumeanus</t>
  </si>
  <si>
    <t>Lithocarpus conocarpus</t>
  </si>
  <si>
    <t>Lithocarpus echinifer</t>
  </si>
  <si>
    <t>Lithocarpus gracilis</t>
  </si>
  <si>
    <t>Lithocarpus leptogyne</t>
  </si>
  <si>
    <t>Lithocarpus</t>
  </si>
  <si>
    <t>Lithocarpus sundaicus</t>
  </si>
  <si>
    <t>Litsea accedens</t>
  </si>
  <si>
    <t>Litsea angulata</t>
  </si>
  <si>
    <t>Litsea caulocarpa</t>
  </si>
  <si>
    <t>Litsea garciae</t>
  </si>
  <si>
    <t>Litsea grandis</t>
  </si>
  <si>
    <t>Litsea mappacea</t>
  </si>
  <si>
    <t>Litsea rubiginosa</t>
  </si>
  <si>
    <t>Lophopetalum beccarianum</t>
  </si>
  <si>
    <t>Lophopetalum javanicum</t>
  </si>
  <si>
    <t>Ludekia borneensis</t>
  </si>
  <si>
    <t>Maasia sumatrana</t>
  </si>
  <si>
    <t>Macaranga conifera</t>
  </si>
  <si>
    <t>Macaranga hypoleuca</t>
  </si>
  <si>
    <t>Macaranga pearsonii</t>
  </si>
  <si>
    <t>Macaranga winkleri</t>
  </si>
  <si>
    <t>Madhuca dubardii</t>
  </si>
  <si>
    <t>Madhuca korthalsii</t>
  </si>
  <si>
    <t>Magnolia borneensis</t>
  </si>
  <si>
    <t>Magnolia liliifera</t>
  </si>
  <si>
    <t>Magnolia tsiampacca</t>
  </si>
  <si>
    <t>Mallotus leucodermis</t>
  </si>
  <si>
    <t>Mallotus miquelianus</t>
  </si>
  <si>
    <t>Mallotus mollissimus</t>
  </si>
  <si>
    <t>Mallotus penangensis</t>
  </si>
  <si>
    <t>Mallotus wrayi</t>
  </si>
  <si>
    <t>Mangifera odorata</t>
  </si>
  <si>
    <t>Mastixia trichotoma</t>
  </si>
  <si>
    <t>Melanochyla bullata</t>
  </si>
  <si>
    <t>Melanochyla tomentosa</t>
  </si>
  <si>
    <t>Melicope confusa</t>
  </si>
  <si>
    <t>Memecylon oleifolium</t>
  </si>
  <si>
    <t>Mesua macrantha</t>
  </si>
  <si>
    <t>Microcos crassifolia</t>
  </si>
  <si>
    <t>Miliusa macropoda</t>
  </si>
  <si>
    <t>Monoon</t>
  </si>
  <si>
    <t>Myristica smythiesii</t>
  </si>
  <si>
    <t>Nauclea subdita</t>
  </si>
  <si>
    <t>Neolamarckia cadamba</t>
  </si>
  <si>
    <t>Neonauclea gigantea</t>
  </si>
  <si>
    <t>Neoscortechinia kingii</t>
  </si>
  <si>
    <t>Neoscortechinia philippinensis</t>
  </si>
  <si>
    <t>Neo-uvaria acuminatissima</t>
  </si>
  <si>
    <t>Nephelium</t>
  </si>
  <si>
    <t>Nothaphoebe umbelliflora</t>
  </si>
  <si>
    <t>Ochanostachys amentacea</t>
  </si>
  <si>
    <t>Orophea myriantha</t>
  </si>
  <si>
    <t>Palaquium dasyphyllum</t>
  </si>
  <si>
    <t>Palaquium sericeum</t>
  </si>
  <si>
    <t>Paranephelium macrophyllum</t>
  </si>
  <si>
    <t>Paranephelium xestophyllum</t>
  </si>
  <si>
    <t>Parashorea malaanonan</t>
  </si>
  <si>
    <t>Parashorea smythiesii</t>
  </si>
  <si>
    <t>Parashorea tomentella</t>
  </si>
  <si>
    <t>Chrysobalanaceae</t>
  </si>
  <si>
    <t>Parishia insignis</t>
  </si>
  <si>
    <t>Payena acuminata</t>
  </si>
  <si>
    <t>Payena</t>
  </si>
  <si>
    <t>Pentace laxiflora</t>
  </si>
  <si>
    <t>Phaeanthus splendens</t>
  </si>
  <si>
    <t>Phoebe grandis</t>
  </si>
  <si>
    <t>Planchonia brevistipitata</t>
  </si>
  <si>
    <t>Pleiocarpidia polyneura</t>
  </si>
  <si>
    <t>Polyalthia obliqua</t>
  </si>
  <si>
    <t>Pometia pinnata</t>
  </si>
  <si>
    <t>Prunus beccarii</t>
  </si>
  <si>
    <t>Prunus javanica</t>
  </si>
  <si>
    <t>Pseuduvaria borneensis</t>
  </si>
  <si>
    <t>Psydrax dicoccos</t>
  </si>
  <si>
    <t>Pterygota alata</t>
  </si>
  <si>
    <t>Ptychopyxis arborea</t>
  </si>
  <si>
    <t>Pyrenaria tawauensis</t>
  </si>
  <si>
    <t>Quercus argentata</t>
  </si>
  <si>
    <t>Quercus lowii</t>
  </si>
  <si>
    <t>Quercus merrillii</t>
  </si>
  <si>
    <t>Ryparosa acuminata</t>
  </si>
  <si>
    <t>Sageraea elliptica</t>
  </si>
  <si>
    <t>Santiria laevigata</t>
  </si>
  <si>
    <t>Scaphium macropodum</t>
  </si>
  <si>
    <t>Shorea</t>
  </si>
  <si>
    <t>Shorea almon</t>
  </si>
  <si>
    <t>Shorea angustifolia</t>
  </si>
  <si>
    <t>Shorea argentifolia</t>
  </si>
  <si>
    <t>Shorea beccariana</t>
  </si>
  <si>
    <t>Shorea faguetiana</t>
  </si>
  <si>
    <t>Shorea falciferoides</t>
  </si>
  <si>
    <t>Shorea fallax</t>
  </si>
  <si>
    <t>Shorea gibbosa</t>
  </si>
  <si>
    <t>Shorea guiso</t>
  </si>
  <si>
    <t>Shorea johorensis</t>
  </si>
  <si>
    <t>Shorea leprosula</t>
  </si>
  <si>
    <t>Shorea leptoderma</t>
  </si>
  <si>
    <t>Shorea macrophylla</t>
  </si>
  <si>
    <t>Shorea macroptera</t>
  </si>
  <si>
    <t>Shorea ovalis</t>
  </si>
  <si>
    <t>Shorea ovata</t>
  </si>
  <si>
    <t>Shorea parvifolia</t>
  </si>
  <si>
    <t>Shorea parvistipulata</t>
  </si>
  <si>
    <t>Shorea pauciflora</t>
  </si>
  <si>
    <t>Shorea pinanga</t>
  </si>
  <si>
    <t>Shorea superba</t>
  </si>
  <si>
    <t>Shorea symingtonii</t>
  </si>
  <si>
    <t>Shorea xanthophylla</t>
  </si>
  <si>
    <t>Sindora</t>
  </si>
  <si>
    <t>Sloanea javanica</t>
  </si>
  <si>
    <t>Spathiostemon</t>
  </si>
  <si>
    <t>Stelechocarpus cauliflorus</t>
  </si>
  <si>
    <t>Sterculia stipulata</t>
  </si>
  <si>
    <t>Symplocos fasciculata</t>
  </si>
  <si>
    <t>Syzygium chloranthum</t>
  </si>
  <si>
    <t>Syzygium elopurae</t>
  </si>
  <si>
    <t>Syzygium grande</t>
  </si>
  <si>
    <t>Syzygium griffithii</t>
  </si>
  <si>
    <t>Syzygium kunstleri</t>
  </si>
  <si>
    <t>Syzygium lineatum</t>
  </si>
  <si>
    <t>Syzygium</t>
  </si>
  <si>
    <t>Syzygium panzeri</t>
  </si>
  <si>
    <t>Syzygium perpuncticulatum</t>
  </si>
  <si>
    <t>Syzygium racemosum</t>
  </si>
  <si>
    <t>Syzygium rheophyticum</t>
  </si>
  <si>
    <t>Terminalia citrina</t>
  </si>
  <si>
    <t>Terminalia foetidissima</t>
  </si>
  <si>
    <t>Trema orientalis</t>
  </si>
  <si>
    <t>Trigonobalanus verticillata</t>
  </si>
  <si>
    <t>Tristiropsis acutangula</t>
  </si>
  <si>
    <t>Vatica odorata</t>
  </si>
  <si>
    <t>Xylopia ferruginea</t>
  </si>
  <si>
    <t>Xylopia stenopetala</t>
  </si>
  <si>
    <t>Car_D1</t>
  </si>
  <si>
    <t>Car_D2</t>
  </si>
  <si>
    <t>Car_Bel</t>
  </si>
  <si>
    <t>Car_LF</t>
  </si>
  <si>
    <t>No.vessel.wedge</t>
  </si>
  <si>
    <t>Vessel.diameter.micron</t>
  </si>
  <si>
    <t>Median.vessel.diameter.micron</t>
  </si>
  <si>
    <t>Hydraulically.weighted.diameter.micron</t>
  </si>
  <si>
    <t>Vessel.lumen.tot.area</t>
  </si>
  <si>
    <t>vessel.lumen.f.wedge</t>
  </si>
  <si>
    <t>BEL-T100-BSH</t>
  </si>
  <si>
    <t>BEL</t>
  </si>
  <si>
    <t>BEL-T101-BS</t>
  </si>
  <si>
    <t>BEL-T102-BS</t>
  </si>
  <si>
    <t>BEL-T104-BSH</t>
  </si>
  <si>
    <t>Parinaria oblongifolia</t>
  </si>
  <si>
    <t>BEL-T105-BSH</t>
  </si>
  <si>
    <t>Cyathocalyx deltoideus</t>
  </si>
  <si>
    <t>BEL-T107-BSH</t>
  </si>
  <si>
    <t>Pleiocarpus polyneura</t>
  </si>
  <si>
    <t>BEL-T109-BSH</t>
  </si>
  <si>
    <t>BEL-T128-BS</t>
  </si>
  <si>
    <t>BEL-T135-BS</t>
  </si>
  <si>
    <t>BEL-T137-BS</t>
  </si>
  <si>
    <t>BEL-T138-BS</t>
  </si>
  <si>
    <t>BEL-T138-BSH</t>
  </si>
  <si>
    <t>BEL-T152-BS</t>
  </si>
  <si>
    <t>Shorea dasphylla</t>
  </si>
  <si>
    <t>BEL-T158-BS</t>
  </si>
  <si>
    <t>Payena microphyla</t>
  </si>
  <si>
    <t>BEL-T179-BS</t>
  </si>
  <si>
    <t>Syzygium perpuncticulata</t>
  </si>
  <si>
    <t>BEL-T195-BS</t>
  </si>
  <si>
    <t>BEL-T209-BSH</t>
  </si>
  <si>
    <t>BEL-T20-BS</t>
  </si>
  <si>
    <t>BEL-T210-BS</t>
  </si>
  <si>
    <t>BEL-T210-BSH</t>
  </si>
  <si>
    <t>BEL-T212-BS</t>
  </si>
  <si>
    <t>BEL-T212-BSH</t>
  </si>
  <si>
    <t>BEL-T2605-BSH</t>
  </si>
  <si>
    <t>BEL-T267-BS</t>
  </si>
  <si>
    <t>BEL-T275-BSH</t>
  </si>
  <si>
    <t>BEL-T276-BSH</t>
  </si>
  <si>
    <t>BEL-T277-BSH</t>
  </si>
  <si>
    <t>BEL-T279-BSH</t>
  </si>
  <si>
    <t>BEL-T280-BSH</t>
  </si>
  <si>
    <t>BEL-T281-BSH</t>
  </si>
  <si>
    <t>BEL-T283-BSH</t>
  </si>
  <si>
    <t>BEL-T285-BSH</t>
  </si>
  <si>
    <t>BEL-T286-BSH</t>
  </si>
  <si>
    <t>BEL-T287-BSH</t>
  </si>
  <si>
    <t>BEL-T288-BSH</t>
  </si>
  <si>
    <t>BEL-T289-BS</t>
  </si>
  <si>
    <t>BEL-T290-BSH</t>
  </si>
  <si>
    <t>BEL-T294-BSH</t>
  </si>
  <si>
    <t>BEL-T30-BS</t>
  </si>
  <si>
    <t>BEL-T324-BS</t>
  </si>
  <si>
    <t>BEL-T324-BSH</t>
  </si>
  <si>
    <t>BEL-T327-BS</t>
  </si>
  <si>
    <t>BEL-T330-BS</t>
  </si>
  <si>
    <t>BEL-T336-BSH</t>
  </si>
  <si>
    <t>BEL-T339-BSH</t>
  </si>
  <si>
    <t>BEL-T340-BSH</t>
  </si>
  <si>
    <t>BEL-T341-BS</t>
  </si>
  <si>
    <t>BEL-T343-BSH</t>
  </si>
  <si>
    <t>BEL-T345-BSH</t>
  </si>
  <si>
    <t>Dysoxylum cauliflora</t>
  </si>
  <si>
    <t>BEL-T347-BSH</t>
  </si>
  <si>
    <t>BEL-T348-BS</t>
  </si>
  <si>
    <t>BEL-T349-BSH</t>
  </si>
  <si>
    <t>BEL-T350-BSH</t>
  </si>
  <si>
    <t>BEL-T351-BSH</t>
  </si>
  <si>
    <t>BEL-T352-BSH</t>
  </si>
  <si>
    <t>BEL-T353-BSH</t>
  </si>
  <si>
    <t>BEL-T358-BSH</t>
  </si>
  <si>
    <t>BEL-T44-BS</t>
  </si>
  <si>
    <t>BEL-T54-BS</t>
  </si>
  <si>
    <t>BEL-T54-BSH</t>
  </si>
  <si>
    <t>BEL-T55-BSH</t>
  </si>
  <si>
    <t>BEL-T56-BSH</t>
  </si>
  <si>
    <t>BEL-T57-BSH</t>
  </si>
  <si>
    <t>BEL-T58-BSH</t>
  </si>
  <si>
    <t>BEL-T59-BSH</t>
  </si>
  <si>
    <t>BEL-T60-BS</t>
  </si>
  <si>
    <t>BEL-T63-BSH</t>
  </si>
  <si>
    <t>BEL-T64-BSH</t>
  </si>
  <si>
    <t>BEL-T80-BS</t>
  </si>
  <si>
    <t>BEL-T96-BS</t>
  </si>
  <si>
    <t>BEL-T97-BS</t>
  </si>
  <si>
    <t>BEL-T98-BSH</t>
  </si>
  <si>
    <t>BEL-T99-BSH</t>
  </si>
  <si>
    <t>BNT-T113-BS</t>
  </si>
  <si>
    <t>BNT-T133-BS</t>
  </si>
  <si>
    <t>BNT-T135-BSH</t>
  </si>
  <si>
    <t>BNT-T138-BS</t>
  </si>
  <si>
    <t>BNT-T138-BSH</t>
  </si>
  <si>
    <t>BNT-T13-BS</t>
  </si>
  <si>
    <t>BNT-T13-BSH</t>
  </si>
  <si>
    <t>BNT-T141-BSH</t>
  </si>
  <si>
    <t>BNT-T149-BS</t>
  </si>
  <si>
    <t>BNT-T153-BS</t>
  </si>
  <si>
    <t>BNT-T165-BS</t>
  </si>
  <si>
    <t>BNT-T166-BS</t>
  </si>
  <si>
    <t>BNT-T168-BS</t>
  </si>
  <si>
    <t>BNT-T168-BSH</t>
  </si>
  <si>
    <t>BNT-T169-BSH</t>
  </si>
  <si>
    <t>BNT-T1756-BS</t>
  </si>
  <si>
    <t>BNT-T1772-BS</t>
  </si>
  <si>
    <t>BNT-T1813-BS</t>
  </si>
  <si>
    <t>BNT-T1829-BS</t>
  </si>
  <si>
    <t>BNT-T1855-BSH</t>
  </si>
  <si>
    <t>BNT-T190-BS</t>
  </si>
  <si>
    <t>BNT-T202-BS</t>
  </si>
  <si>
    <t>BNT-T208-BSH</t>
  </si>
  <si>
    <t>BNT-T209-BS</t>
  </si>
  <si>
    <t>BNT-T212-BS</t>
  </si>
  <si>
    <t>BNT-T212-BSH</t>
  </si>
  <si>
    <t>BNT-T217-BS</t>
  </si>
  <si>
    <t>Cratoxylum chochinchinense</t>
  </si>
  <si>
    <t>BNT-T222-BS</t>
  </si>
  <si>
    <t>BNT-T223-BSH</t>
  </si>
  <si>
    <t>BNT-T225-BSH</t>
  </si>
  <si>
    <t>BNT-T227-BS</t>
  </si>
  <si>
    <t>Nephelium ramboutan-ake</t>
  </si>
  <si>
    <t>BNT-T227-BSH</t>
  </si>
  <si>
    <t>BNT-T230-BS</t>
  </si>
  <si>
    <t>BNT-T231-BSH</t>
  </si>
  <si>
    <t>BNT-T232-BS</t>
  </si>
  <si>
    <t>BNT-T234-BSH</t>
  </si>
  <si>
    <t>BNT-T236-BS</t>
  </si>
  <si>
    <t>BNT-T237-BSH</t>
  </si>
  <si>
    <t>BNT-T238-BSH</t>
  </si>
  <si>
    <t>BNT-T239-BS</t>
  </si>
  <si>
    <t>BNT-T240-BS</t>
  </si>
  <si>
    <t>BNT-T242-BS</t>
  </si>
  <si>
    <t>BNT-T243-BS</t>
  </si>
  <si>
    <t>BNT-T245-BS</t>
  </si>
  <si>
    <t>BNT-T249-BS</t>
  </si>
  <si>
    <t>BNT-T24-BS</t>
  </si>
  <si>
    <t>BNT-T24-BSH</t>
  </si>
  <si>
    <t>BNT-T251-BS</t>
  </si>
  <si>
    <t>BNT-T262-BS</t>
  </si>
  <si>
    <t>BNT-T266-BS</t>
  </si>
  <si>
    <t>Cleistanthus spec</t>
  </si>
  <si>
    <t>BNT-T2684-BS</t>
  </si>
  <si>
    <t>BNT-T2686-BS</t>
  </si>
  <si>
    <t>BNT-T2688-BS</t>
  </si>
  <si>
    <t>BNT-T2689-BS</t>
  </si>
  <si>
    <t>BNT-T2690-BS</t>
  </si>
  <si>
    <t>BNT-T2691-BS</t>
  </si>
  <si>
    <t>BNT-T2705-BS</t>
  </si>
  <si>
    <t>BNT-T274-BS</t>
  </si>
  <si>
    <t>BNT-T274-BSH</t>
  </si>
  <si>
    <t>BNT-T280-BSH</t>
  </si>
  <si>
    <t>BNT-T282-BS</t>
  </si>
  <si>
    <t>BNT-T308-BS</t>
  </si>
  <si>
    <t>BNT-T309-BSH</t>
  </si>
  <si>
    <t>BNT-T310-BS</t>
  </si>
  <si>
    <t>BNT-T313-BS</t>
  </si>
  <si>
    <t>BNT-T314-BS</t>
  </si>
  <si>
    <t>BNT-T315-BS</t>
  </si>
  <si>
    <t>BNT-T317-BS</t>
  </si>
  <si>
    <t>BNT-T319-BS</t>
  </si>
  <si>
    <t>BNT-T320-BS</t>
  </si>
  <si>
    <t>Shorea parviflora</t>
  </si>
  <si>
    <t>BNT-T321-BS</t>
  </si>
  <si>
    <t>BNT-T325-BS</t>
  </si>
  <si>
    <t>BNT-T326-BS</t>
  </si>
  <si>
    <t>BNT-T329-BS</t>
  </si>
  <si>
    <t>BNT-T330-BS</t>
  </si>
  <si>
    <t>BNT-T332-BS</t>
  </si>
  <si>
    <t>BNT-T3411-BS</t>
  </si>
  <si>
    <t>BNT-T344-BS</t>
  </si>
  <si>
    <t>BNT-T3480-BSH</t>
  </si>
  <si>
    <t>BNT-T3481-BSH</t>
  </si>
  <si>
    <t>BNT-T3482-BSH</t>
  </si>
  <si>
    <t>BNT-T348-BS</t>
  </si>
  <si>
    <t>Diospyrus pilosanthera</t>
  </si>
  <si>
    <t>BNT-T3491-BS</t>
  </si>
  <si>
    <t>BNT-T3495-BSH</t>
  </si>
  <si>
    <t>BNT-T3496-BS</t>
  </si>
  <si>
    <t>BNT-T3497-BSH</t>
  </si>
  <si>
    <t>BNT-T3498-BS</t>
  </si>
  <si>
    <t>BNT-T350-BS</t>
  </si>
  <si>
    <t>BNT-T354-BS</t>
  </si>
  <si>
    <t>BNT-T355-BS</t>
  </si>
  <si>
    <t>BNT-T356-BS</t>
  </si>
  <si>
    <t>BNT-T361-BS</t>
  </si>
  <si>
    <t>BNT-T70-BSH</t>
  </si>
  <si>
    <t>BNT-T75-BS</t>
  </si>
  <si>
    <t>BSO-T1687-BS</t>
  </si>
  <si>
    <t>BSO-T1687-BSH</t>
  </si>
  <si>
    <t>BSO-T1698-BS</t>
  </si>
  <si>
    <t>BSO-T1699-BS</t>
  </si>
  <si>
    <t>BSO-T3612-BS</t>
  </si>
  <si>
    <t>BSO-T3622-BSH</t>
  </si>
  <si>
    <t>BSO-T3623-BSH</t>
  </si>
  <si>
    <t>BSO-T3624-BSH</t>
  </si>
  <si>
    <t>BSO-T3625-BSH</t>
  </si>
  <si>
    <t>BSO-T3654-BS</t>
  </si>
  <si>
    <t>BSO-T3675-BSH</t>
  </si>
  <si>
    <t>BSO-T3676-BS</t>
  </si>
  <si>
    <t>BSO-T3677-BS</t>
  </si>
  <si>
    <t>BSO-T3678-BSH</t>
  </si>
  <si>
    <t>BSO-T3679-BS</t>
  </si>
  <si>
    <t>BSO-T381-BS</t>
  </si>
  <si>
    <t>BSO-T392-BSH</t>
  </si>
  <si>
    <t>BSO-T393-BSH</t>
  </si>
  <si>
    <t>BSO-T397-BS</t>
  </si>
  <si>
    <t>BSO-T399-BS</t>
  </si>
  <si>
    <t>BSO-T400-BS</t>
  </si>
  <si>
    <t>Lithocarpus ureolaris</t>
  </si>
  <si>
    <t>BSO-T400-BSH</t>
  </si>
  <si>
    <t>BSO-T410-BSH</t>
  </si>
  <si>
    <t>BSO-T411-BSH</t>
  </si>
  <si>
    <t>BSO-T412-BS</t>
  </si>
  <si>
    <t>BSO-T414-BSH</t>
  </si>
  <si>
    <t>BSO-T419-BS</t>
  </si>
  <si>
    <t>BSO-T420-BS</t>
  </si>
  <si>
    <t>BSO-T421-BS</t>
  </si>
  <si>
    <t>BSO-T421-BSH</t>
  </si>
  <si>
    <t>BSO-T422-BSH</t>
  </si>
  <si>
    <t>BSO-T423-BS</t>
  </si>
  <si>
    <t>BSO-T424-BSH</t>
  </si>
  <si>
    <t>BSO-T425-BSH</t>
  </si>
  <si>
    <t>BSO-T426-BS</t>
  </si>
  <si>
    <t>Hydnocarpus anomala</t>
  </si>
  <si>
    <t>BSO-T445-BS</t>
  </si>
  <si>
    <t>BSO-T457-BSH</t>
  </si>
  <si>
    <t>BSO-T458-BS</t>
  </si>
  <si>
    <t>BSO-T461-BS</t>
  </si>
  <si>
    <t>BSO-T462-BS</t>
  </si>
  <si>
    <t>BSO-T465-BS</t>
  </si>
  <si>
    <t>BSO-T470-BS</t>
  </si>
  <si>
    <t>BSO-T477-BS</t>
  </si>
  <si>
    <t>BSO-T483-BS</t>
  </si>
  <si>
    <t>BSO-T497-BS</t>
  </si>
  <si>
    <t>BSO-T497-BSH</t>
  </si>
  <si>
    <t>BSO-T499-BSH</t>
  </si>
  <si>
    <t>BSO-T505-BS</t>
  </si>
  <si>
    <t>Neouvaria acuminatissima</t>
  </si>
  <si>
    <t>BSO-T5073-BS</t>
  </si>
  <si>
    <t>BSO-T5073-BSH</t>
  </si>
  <si>
    <t>BSO-T5075-BSH</t>
  </si>
  <si>
    <t>BSO-T5076-BS</t>
  </si>
  <si>
    <t>BSO-T5076-BSH</t>
  </si>
  <si>
    <t>BSO-T5085-BS</t>
  </si>
  <si>
    <t>BSO-T5086-BS</t>
  </si>
  <si>
    <t>BSO-T5094-BSH</t>
  </si>
  <si>
    <t>BSO-T5095-BS</t>
  </si>
  <si>
    <t>BSO-T5095-BSH</t>
  </si>
  <si>
    <t>BSO-T509-BSH</t>
  </si>
  <si>
    <t>BSO-T5100-BS</t>
  </si>
  <si>
    <t>BSO-T5100-BSH</t>
  </si>
  <si>
    <t>BSO-T5101-BS</t>
  </si>
  <si>
    <t>BSO-T541-BS</t>
  </si>
  <si>
    <t>BSO-T546-BSH</t>
  </si>
  <si>
    <t>BSO-T552-BS</t>
  </si>
  <si>
    <t>BSO-T562-BS</t>
  </si>
  <si>
    <t>BSO-T562-BSH</t>
  </si>
  <si>
    <t>BSO-T571-BS</t>
  </si>
  <si>
    <t>BSO-T572-BS</t>
  </si>
  <si>
    <t>BSO-T574-BSH</t>
  </si>
  <si>
    <t>BSO-T575-BSH</t>
  </si>
  <si>
    <t>BSO-T580-BS</t>
  </si>
  <si>
    <t>BSO-T582-BS</t>
  </si>
  <si>
    <t>Sindora iripicina</t>
  </si>
  <si>
    <t>BSO-T582-BSH</t>
  </si>
  <si>
    <t>BSO-T583-BS</t>
  </si>
  <si>
    <t>BSO-T591-BS</t>
  </si>
  <si>
    <t>BSO-T599-BS</t>
  </si>
  <si>
    <t>BSO-T599-BSH</t>
  </si>
  <si>
    <t>BSO-T604-BS</t>
  </si>
  <si>
    <t>BSO-T605-BS</t>
  </si>
  <si>
    <t>BSO-T615-BS</t>
  </si>
  <si>
    <t>BSO-TB0922-BSH</t>
  </si>
  <si>
    <t>DAF2-T102828-BS</t>
  </si>
  <si>
    <t>DAF2</t>
  </si>
  <si>
    <t>DAF2-T102900-BSH</t>
  </si>
  <si>
    <t>DAF2-T103118-BS</t>
  </si>
  <si>
    <t>DAF2-T103225-BS</t>
  </si>
  <si>
    <t>DAF2-T103514-BS</t>
  </si>
  <si>
    <t>DAF2-T103520-BS</t>
  </si>
  <si>
    <t>DAF2-T103715-BSH</t>
  </si>
  <si>
    <t>DAF2-T110043-BSH</t>
  </si>
  <si>
    <t>DAF2-T112578-BS</t>
  </si>
  <si>
    <t>DAF2-T112783-BSH</t>
  </si>
  <si>
    <t>DAF2-T112794-BSH</t>
  </si>
  <si>
    <t>DAF2-T112829-BSH</t>
  </si>
  <si>
    <t>DAF2-T112861-BSH</t>
  </si>
  <si>
    <t>DAF2-T112862-BSH</t>
  </si>
  <si>
    <t>DAF2-T112865-BSH</t>
  </si>
  <si>
    <t>DAF2-T112875-BSH</t>
  </si>
  <si>
    <t>DAF2-T112894-BSH</t>
  </si>
  <si>
    <t>DAF2-T112931-BS</t>
  </si>
  <si>
    <t>DAF2-T112942-BSH</t>
  </si>
  <si>
    <t>DAF2-T112954-BSH</t>
  </si>
  <si>
    <t>DAF2-T112977-BS</t>
  </si>
  <si>
    <t>DAF2-T113119-BS</t>
  </si>
  <si>
    <t>DAF2-T113378-BSH</t>
  </si>
  <si>
    <t>DAF2-T113423-BSH</t>
  </si>
  <si>
    <t>DAF2-T113439-BS</t>
  </si>
  <si>
    <t>DAF2-T113439-BSH</t>
  </si>
  <si>
    <t>DAF2-T113441-BS</t>
  </si>
  <si>
    <t>DAF2-T113441-BSH</t>
  </si>
  <si>
    <t>DAF2-T113454-BS</t>
  </si>
  <si>
    <t>DAF2-T113466-BSH</t>
  </si>
  <si>
    <t>DAF2-T113478-BSH</t>
  </si>
  <si>
    <t>DAF2-T113490-BSH</t>
  </si>
  <si>
    <t>DAF2-T113491-BSH</t>
  </si>
  <si>
    <t>Aporusa illustris</t>
  </si>
  <si>
    <t>DAF2-T113499-BSH</t>
  </si>
  <si>
    <t>DAF2-T113515-BSH</t>
  </si>
  <si>
    <t>DAF2-T113518-BS</t>
  </si>
  <si>
    <t>DAF2-T113533-BSH</t>
  </si>
  <si>
    <t>DAF2-T122674-BSH</t>
  </si>
  <si>
    <t>DAF2-T122897-BS</t>
  </si>
  <si>
    <t>DAF2-T122897-BSH</t>
  </si>
  <si>
    <t>DAF2-T122979-BSH</t>
  </si>
  <si>
    <t>DAF2-T123064-BSH</t>
  </si>
  <si>
    <t>DAF2-T123290-BS</t>
  </si>
  <si>
    <t>DAF2-T123290-BSH</t>
  </si>
  <si>
    <t>DAF2-T123508-BS</t>
  </si>
  <si>
    <t>Glochidion elmari</t>
  </si>
  <si>
    <t>DAF2-T123617-BS</t>
  </si>
  <si>
    <t>DAF2-T123625-BSH</t>
  </si>
  <si>
    <t>DAF2-T123633-BS</t>
  </si>
  <si>
    <t>DAF2-T123652-BS</t>
  </si>
  <si>
    <t>DAF2-T123655-BSH</t>
  </si>
  <si>
    <t>DAF2-T123700-BSH</t>
  </si>
  <si>
    <t>DAF2-T132819-BS</t>
  </si>
  <si>
    <t>Shorea agami</t>
  </si>
  <si>
    <t>DAF2-T132971-BS</t>
  </si>
  <si>
    <t>DAF2-T133265-BSH</t>
  </si>
  <si>
    <t>Monoon hookerianum</t>
  </si>
  <si>
    <t>DAS1-T010227-BS</t>
  </si>
  <si>
    <t>DAS1</t>
  </si>
  <si>
    <t>DAS1-T010227-BSH</t>
  </si>
  <si>
    <t>DAS1-T010304-BSH</t>
  </si>
  <si>
    <t>DAS1-T010384-BS</t>
  </si>
  <si>
    <t>DAS1-T010384-BSH</t>
  </si>
  <si>
    <t>DAS1-T010522-BSH</t>
  </si>
  <si>
    <t>DAS1-T010542-BS</t>
  </si>
  <si>
    <t>DAS1-T010542-BSH</t>
  </si>
  <si>
    <t>DAS1-T010612-BSH</t>
  </si>
  <si>
    <t>DAS1-T020093-BS</t>
  </si>
  <si>
    <t>DAS1-T020149-BS</t>
  </si>
  <si>
    <t>DAS1-T020186-BS</t>
  </si>
  <si>
    <t>DAS1-T020187-BSH</t>
  </si>
  <si>
    <t>DAS1-T020208-BSH</t>
  </si>
  <si>
    <t>DAS1-T020217-BS</t>
  </si>
  <si>
    <t>DAS1-T020219-BSH</t>
  </si>
  <si>
    <t>DAS1-T020239-BSH</t>
  </si>
  <si>
    <t>DAS1-T020245-BSH</t>
  </si>
  <si>
    <t>DAS1-T020286-BSH</t>
  </si>
  <si>
    <t>DAS1-T020318-BS</t>
  </si>
  <si>
    <t>DAS1-T020322-BSH</t>
  </si>
  <si>
    <t>DAS1-T020328-BSH</t>
  </si>
  <si>
    <t>DAS1-T020348-BSH</t>
  </si>
  <si>
    <t>DAS1-T020351-BSH</t>
  </si>
  <si>
    <t>DAS1-T020362-BSH</t>
  </si>
  <si>
    <t>DAS1-T020363-BSH</t>
  </si>
  <si>
    <t>DAS1-T020367-BSH</t>
  </si>
  <si>
    <t>DAS1-T020368-BS</t>
  </si>
  <si>
    <t>DAS1-T020370-BS</t>
  </si>
  <si>
    <t>DAS1-T020370-BSH</t>
  </si>
  <si>
    <t>DAS1-T020382-BS</t>
  </si>
  <si>
    <t>DAS1-T020390-BSH</t>
  </si>
  <si>
    <t>DAS1-T020398-BSH</t>
  </si>
  <si>
    <t>DAS1-T020419-BSH</t>
  </si>
  <si>
    <t>DAS1-T020523-BSH</t>
  </si>
  <si>
    <t>DAS1-T020593-BS</t>
  </si>
  <si>
    <t>DAS1-T020593-BSH</t>
  </si>
  <si>
    <t>DAS1-T020629-BS</t>
  </si>
  <si>
    <t>DAS1-T020848-BS</t>
  </si>
  <si>
    <t>DAS1-T030256-BS</t>
  </si>
  <si>
    <t>DAS1-T030343-BS</t>
  </si>
  <si>
    <t>DAS1-T030352-BS</t>
  </si>
  <si>
    <t>DAS1-T030409-BS</t>
  </si>
  <si>
    <t>DAS1-T030481-BS</t>
  </si>
  <si>
    <t>DAS1-T040056-BSH</t>
  </si>
  <si>
    <t>DAS1-T040191-BSH</t>
  </si>
  <si>
    <t>Spathiostemon javanensis</t>
  </si>
  <si>
    <t>DAS1-T040225-BSH</t>
  </si>
  <si>
    <t>DAS1-T040232-BSH</t>
  </si>
  <si>
    <t>DAS1-T040273-BSH</t>
  </si>
  <si>
    <t>DAS1-T040280-BSH</t>
  </si>
  <si>
    <t>DAS1-T040287-BSH</t>
  </si>
  <si>
    <t>DAS1-T040334-BSH</t>
  </si>
  <si>
    <t>DAS1-T040339-BSH</t>
  </si>
  <si>
    <t>DAS1-T040343-BSH</t>
  </si>
  <si>
    <t>DAS1-T040355-BSH</t>
  </si>
  <si>
    <t>DAS1-T040360-BSH</t>
  </si>
  <si>
    <t>DAS1-T040367-BSH</t>
  </si>
  <si>
    <t>DAS1-T040525-BS</t>
  </si>
  <si>
    <t>DAS1-T040702-BSH</t>
  </si>
  <si>
    <t>DAS1-T040758-BSH</t>
  </si>
  <si>
    <t>DAS1-T040813-BSH</t>
  </si>
  <si>
    <t>DAS1-T040831-BSH</t>
  </si>
  <si>
    <t>DAS1-T040845-BSH</t>
  </si>
  <si>
    <t>DAS1-T040846-BSH</t>
  </si>
  <si>
    <t>DAS1-T040854-BSH</t>
  </si>
  <si>
    <t>DAS1-T040868-BSH</t>
  </si>
  <si>
    <t>DAS1-T040875-BS</t>
  </si>
  <si>
    <t>DAS1-T040895-BS</t>
  </si>
  <si>
    <t>DAS1-T040901-BSH</t>
  </si>
  <si>
    <t>DAS1-T040912-BSH</t>
  </si>
  <si>
    <t>DAS1-T040920-BSH</t>
  </si>
  <si>
    <t>DAS1-T040924-BSH</t>
  </si>
  <si>
    <t>DAS1-T040930-BSH</t>
  </si>
  <si>
    <t>DAS1-T040935-BSH</t>
  </si>
  <si>
    <t>DAS1-T050189-BS</t>
  </si>
  <si>
    <t>DAS1-T050223-BS</t>
  </si>
  <si>
    <t>DAS1-T050357-BS</t>
  </si>
  <si>
    <t>DAS1-T050494-BSH</t>
  </si>
  <si>
    <t>ESA-T1054-BS</t>
  </si>
  <si>
    <t>ESA-T114-BS</t>
  </si>
  <si>
    <t>ESA-T1172-BS</t>
  </si>
  <si>
    <t>ESA-T1173-BSH</t>
  </si>
  <si>
    <t>ESA-T1174-BSH</t>
  </si>
  <si>
    <t>ESA-T1180-BS</t>
  </si>
  <si>
    <t>ESA-T125-BS</t>
  </si>
  <si>
    <t>ESA-T136-BS</t>
  </si>
  <si>
    <t>ESA-T149-BS</t>
  </si>
  <si>
    <t>ESA-T151-BS</t>
  </si>
  <si>
    <t>ESA-T151-BSH</t>
  </si>
  <si>
    <t>ESA-T156-BSH</t>
  </si>
  <si>
    <t>ESA-T157-BS</t>
  </si>
  <si>
    <t>ESA-T158-BSH</t>
  </si>
  <si>
    <t>ESA-T15-BS</t>
  </si>
  <si>
    <t>ESA-T160-BS</t>
  </si>
  <si>
    <t>ESA-T160-BSH</t>
  </si>
  <si>
    <t>ESA-T163-BS</t>
  </si>
  <si>
    <t>ESA-T164-BS</t>
  </si>
  <si>
    <t>ESA-T165-BS</t>
  </si>
  <si>
    <t>ESA-T166-BS</t>
  </si>
  <si>
    <t>ESA-T167-BSH</t>
  </si>
  <si>
    <t>ESA-T169-BSH</t>
  </si>
  <si>
    <t>ESA-T170-BSH</t>
  </si>
  <si>
    <t>ESA-T171-BSH</t>
  </si>
  <si>
    <t>ESA-T176-BS</t>
  </si>
  <si>
    <t>ESA-T219-BS</t>
  </si>
  <si>
    <t>ESA-T231-BS</t>
  </si>
  <si>
    <t>ESA-T232-BS</t>
  </si>
  <si>
    <t>ESA-T232-BSH</t>
  </si>
  <si>
    <t>ESA-T236-BS</t>
  </si>
  <si>
    <t>ESA-T241-BSH</t>
  </si>
  <si>
    <t>Lithocarpus orocola</t>
  </si>
  <si>
    <t>ESA-T243-BSH</t>
  </si>
  <si>
    <t>ESA-T253-BS</t>
  </si>
  <si>
    <t>ESA-T257-BS</t>
  </si>
  <si>
    <t>Chisocheton sarawakensis</t>
  </si>
  <si>
    <t>ESA-T257-BSH</t>
  </si>
  <si>
    <t>ESA-T273-BS</t>
  </si>
  <si>
    <t>ESA-T275-BS</t>
  </si>
  <si>
    <t>ESA-T281-BS</t>
  </si>
  <si>
    <t>ESA-T299-BS</t>
  </si>
  <si>
    <t>ESA-T300-BS</t>
  </si>
  <si>
    <t>ESA-T309-BS</t>
  </si>
  <si>
    <t>ESA-T30-BS</t>
  </si>
  <si>
    <t>ESA-T31-BS</t>
  </si>
  <si>
    <t>ESA-T32-BS</t>
  </si>
  <si>
    <t>ESA-T33-BS</t>
  </si>
  <si>
    <t>ESA-T34-BS</t>
  </si>
  <si>
    <t>ESA-T3516-BS</t>
  </si>
  <si>
    <t>ESA-T3518-BSH</t>
  </si>
  <si>
    <t>ESA-T3519-BSH</t>
  </si>
  <si>
    <t>ESA-T3520-BS</t>
  </si>
  <si>
    <t>ESA-T3578-BS</t>
  </si>
  <si>
    <t>ESA-T365-BS</t>
  </si>
  <si>
    <t>ESA-T365-BSH</t>
  </si>
  <si>
    <t>ESA-T375-BS</t>
  </si>
  <si>
    <t>ESA-T376-BS</t>
  </si>
  <si>
    <t>ESA-T377-BS</t>
  </si>
  <si>
    <t>ESA-T378-BS</t>
  </si>
  <si>
    <t>ESA-T379-BS</t>
  </si>
  <si>
    <t>ESA-T380-BS</t>
  </si>
  <si>
    <t>ESA-T381-BS</t>
  </si>
  <si>
    <t>ESA-T382-BS</t>
  </si>
  <si>
    <t>ESA-T383-BS</t>
  </si>
  <si>
    <t>ESA-T385-BS</t>
  </si>
  <si>
    <t>ESA-T386-BS</t>
  </si>
  <si>
    <t>ESA-T388-BSH</t>
  </si>
  <si>
    <t>ESA-T389-BSH</t>
  </si>
  <si>
    <t>ESA-T390-BS</t>
  </si>
  <si>
    <t>ESA-T391-BS</t>
  </si>
  <si>
    <t>ESA-T392-BS</t>
  </si>
  <si>
    <t>ESA-T394-BS</t>
  </si>
  <si>
    <t>ESA-T395-BS</t>
  </si>
  <si>
    <t>ESA-T397-BS</t>
  </si>
  <si>
    <t>ESA-T401-BS</t>
  </si>
  <si>
    <t>ESA-T402-BS</t>
  </si>
  <si>
    <t>ESA-T424-BS</t>
  </si>
  <si>
    <t>ESA-T44-BS</t>
  </si>
  <si>
    <t>ESA-T458-BS</t>
  </si>
  <si>
    <t>ESA-T45-BS</t>
  </si>
  <si>
    <t>ESA-T479-BSH</t>
  </si>
  <si>
    <t>ESA-T47-BS</t>
  </si>
  <si>
    <t>ESA-T480-BS</t>
  </si>
  <si>
    <t>ESA-T480-BSH</t>
  </si>
  <si>
    <t>ESA-T481-BS</t>
  </si>
  <si>
    <t>Syzygium murtifolium</t>
  </si>
  <si>
    <t>ESA-T481-BSH</t>
  </si>
  <si>
    <t>ESA-T494-BS</t>
  </si>
  <si>
    <t>ESA-T499-BS</t>
  </si>
  <si>
    <t>ESA-T49-BSH</t>
  </si>
  <si>
    <t>ESA-T503-BS</t>
  </si>
  <si>
    <t>ESA-T50-BS</t>
  </si>
  <si>
    <t>ESA-T514-BS</t>
  </si>
  <si>
    <t>ESA-T51-BSH</t>
  </si>
  <si>
    <t>ESA-T526-BS</t>
  </si>
  <si>
    <t>ESA-T528-BS</t>
  </si>
  <si>
    <t>Beilschmidia micrantha</t>
  </si>
  <si>
    <t>ESA-T52-BSH</t>
  </si>
  <si>
    <t>ESA-T551-BS</t>
  </si>
  <si>
    <t>ESA-T559-BS</t>
  </si>
  <si>
    <t>ESA-T567-BS</t>
  </si>
  <si>
    <t>ESA-T577-BS</t>
  </si>
  <si>
    <t>ESA-T589-BS</t>
  </si>
  <si>
    <t>ESA-T5-BS</t>
  </si>
  <si>
    <t>ESA-T604-BSH</t>
  </si>
  <si>
    <t>ESA-T616-BS</t>
  </si>
  <si>
    <t>ESA-T81-BS</t>
  </si>
  <si>
    <t>ESA-T84-BS</t>
  </si>
  <si>
    <t>ESA-T96-BS</t>
  </si>
  <si>
    <t>SER-T109-BS</t>
  </si>
  <si>
    <t>SER-T13-BSH</t>
  </si>
  <si>
    <t>SER-T16-BS</t>
  </si>
  <si>
    <t>SER-T189-BS</t>
  </si>
  <si>
    <t>SER-T215-BSH</t>
  </si>
  <si>
    <t>SER-T217-BSH</t>
  </si>
  <si>
    <t>SER-T218-BSH</t>
  </si>
  <si>
    <t>SER-T219-BSH</t>
  </si>
  <si>
    <t>SER-T220-BSH</t>
  </si>
  <si>
    <t>SER-T221-BSH</t>
  </si>
  <si>
    <t>SER-T222-BS</t>
  </si>
  <si>
    <t>SER-T224-BSH</t>
  </si>
  <si>
    <t>SER-T226-BSH</t>
  </si>
  <si>
    <t>SER-T227-BS</t>
  </si>
  <si>
    <t>SER-T228-BSH</t>
  </si>
  <si>
    <t>SER-T230-BSH</t>
  </si>
  <si>
    <t>SER-T231-BSH</t>
  </si>
  <si>
    <t>SER-T232-BSH</t>
  </si>
  <si>
    <t>SER-T233-BSH</t>
  </si>
  <si>
    <t>Knema pulcha</t>
  </si>
  <si>
    <t>SER-T25-BS</t>
  </si>
  <si>
    <t>SER-T278-BS</t>
  </si>
  <si>
    <t>SER-T2832-BS</t>
  </si>
  <si>
    <t>SER-T287-BS</t>
  </si>
  <si>
    <t>SER-T30-BSH</t>
  </si>
  <si>
    <t>SER-T305-BS</t>
  </si>
  <si>
    <t>SER-T309-BS</t>
  </si>
  <si>
    <t>SER-T326-BS</t>
  </si>
  <si>
    <t>SER-T337-BS</t>
  </si>
  <si>
    <t>SER-T342-BSH</t>
  </si>
  <si>
    <t>SER-T343-BSH</t>
  </si>
  <si>
    <t>SER-T34-BSH</t>
  </si>
  <si>
    <t>SER-T35-BS</t>
  </si>
  <si>
    <t>SER-T364-BS</t>
  </si>
  <si>
    <t>SER-T365-BS</t>
  </si>
  <si>
    <t>SER-T37-BS</t>
  </si>
  <si>
    <t>SER-T38-BSH</t>
  </si>
  <si>
    <t>SER-T390-BS</t>
  </si>
  <si>
    <t>SER-T392-BS</t>
  </si>
  <si>
    <t>SER-T40-BSH</t>
  </si>
  <si>
    <t>SER-T41-BSH</t>
  </si>
  <si>
    <t>SER-T455-BS</t>
  </si>
  <si>
    <t>SER-T462-BSH</t>
  </si>
  <si>
    <t>SER-T463-BSH</t>
  </si>
  <si>
    <t>SER-T465-BSH</t>
  </si>
  <si>
    <t>SER-T466-BS</t>
  </si>
  <si>
    <t>SER-T467-BS</t>
  </si>
  <si>
    <t>SER-T469-BSH</t>
  </si>
  <si>
    <t>SER-T471-BSH</t>
  </si>
  <si>
    <t>SER-T476-BSH</t>
  </si>
  <si>
    <t>SER-T478-BSH</t>
  </si>
  <si>
    <t>SER-T479-BSH</t>
  </si>
  <si>
    <t>SER-T480-BSH</t>
  </si>
  <si>
    <t>SER-T481-BSH</t>
  </si>
  <si>
    <t>SER-T486-BSH</t>
  </si>
  <si>
    <t>SER-T49-BS</t>
  </si>
  <si>
    <t>SER-T52-BSH</t>
  </si>
  <si>
    <t>SER-T53-BSH</t>
  </si>
  <si>
    <t>SER-T54-BS</t>
  </si>
  <si>
    <t>SLF-T111-BSH</t>
  </si>
  <si>
    <t>SLF</t>
  </si>
  <si>
    <t>Syzygium tenuicandatum</t>
  </si>
  <si>
    <t>SLF-T114-BS</t>
  </si>
  <si>
    <t>SLF-T116-BS</t>
  </si>
  <si>
    <t>SLF-T117-BS</t>
  </si>
  <si>
    <t>SLF-T118-BSH</t>
  </si>
  <si>
    <t>SLF-T119-BS</t>
  </si>
  <si>
    <t>SLF-T120-BS</t>
  </si>
  <si>
    <t>SLF-T122-BS</t>
  </si>
  <si>
    <t>SLF-T122-BSH</t>
  </si>
  <si>
    <t>SLF-T123-BSH</t>
  </si>
  <si>
    <t>SLF-T124-BS</t>
  </si>
  <si>
    <t>SLF-T124-BSH</t>
  </si>
  <si>
    <t>SLF-T159-BSH</t>
  </si>
  <si>
    <t>SLF-T183-BSH</t>
  </si>
  <si>
    <t>SLF-T184-BS</t>
  </si>
  <si>
    <t>SLF-T184-BSH</t>
  </si>
  <si>
    <t>SLF-T185-BSH</t>
  </si>
  <si>
    <t>SLF-T186-BS</t>
  </si>
  <si>
    <t>SLF-T188-BSH</t>
  </si>
  <si>
    <t>SLF-T189-BSH</t>
  </si>
  <si>
    <t>SLF-T193-BSH</t>
  </si>
  <si>
    <t>SLF-T194-BSH</t>
  </si>
  <si>
    <t>SLF-T195-BSH</t>
  </si>
  <si>
    <t>SLF-T2138-BSH</t>
  </si>
  <si>
    <t>SLF-T2139-BS</t>
  </si>
  <si>
    <t>SLF-T2142-BS</t>
  </si>
  <si>
    <t>SLF-T246-BS</t>
  </si>
  <si>
    <t>SLF-T3694-BSH</t>
  </si>
  <si>
    <t>SLF-T3706-BSH</t>
  </si>
  <si>
    <t>SLF-T51-BS</t>
  </si>
  <si>
    <t>SLF-T52-BS</t>
  </si>
  <si>
    <t>Actinodaphne borneesis</t>
  </si>
  <si>
    <t>SLF-T54-BSH</t>
  </si>
  <si>
    <t>SLF-T55-BSH</t>
  </si>
  <si>
    <t>SLF-T57-BS</t>
  </si>
  <si>
    <t>SLF-T58-BS</t>
  </si>
  <si>
    <t>SLF-T60-BS</t>
  </si>
  <si>
    <t>SLF-T61-BS</t>
  </si>
  <si>
    <t>SLF-T62-BS</t>
  </si>
  <si>
    <t>MLA-01</t>
  </si>
  <si>
    <t>DAN-05</t>
  </si>
  <si>
    <t>DAN-04</t>
  </si>
  <si>
    <t>SAF-04</t>
  </si>
  <si>
    <t>micron^2</t>
  </si>
  <si>
    <t>micron</t>
  </si>
  <si>
    <t>Jotan, Palasiah</t>
  </si>
  <si>
    <t>Maycock, Colin</t>
  </si>
  <si>
    <t>NA</t>
  </si>
  <si>
    <t>Syzygium napiformi</t>
  </si>
  <si>
    <t>Hydraulically weighted mean diameter. Calculated as (∑ diameter^5) / (∑ diameter^4).</t>
  </si>
  <si>
    <t>Mean vessel diameter. Vessel diameter is determined as the mean of the maximum and minimum (lumen) diameters.</t>
  </si>
  <si>
    <t>Mean vessel area. Vessel area is determined by the average cross-sectional area of all vessel lumens (excluding vessel walls) in the wedge-shaped transect of the branch wood cross-section.</t>
  </si>
  <si>
    <t>Vessel lumen fraction. From the vessel areas and transect areas, vessel lumen fraction is calculated as the fraction of transect area filled by vessel lumens.</t>
  </si>
  <si>
    <t>Total area of the vessel lumens in the wedge-shaped transect of the branch wood cross-section.</t>
  </si>
  <si>
    <t>The middle value of the vessel area data set.</t>
  </si>
  <si>
    <t>The middle value of the vessel diameter data set.</t>
  </si>
  <si>
    <t>Count of vessels in the respective wedge area.</t>
  </si>
  <si>
    <t>Area of wedge from microtome slice used for analysis.</t>
  </si>
  <si>
    <t>sboth@une.edu.au; sabinenboth.mail@gmail.com</t>
  </si>
  <si>
    <t>Wedge.area.micron2</t>
  </si>
  <si>
    <t>Vessel.area.micron2</t>
  </si>
  <si>
    <t>Median.vessel.area.micron2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</si>
</sst>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0" fontId="5" fillId="0" borderId="0"/>
    <xf numFmtId="0" fontId="5" fillId="0" borderId="0"/>
  </cellStyleXfs>
  <cellXfs count="37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0" borderId="0" xfId="0" applyFont="1"/>
    <xf numFmtId="0" fontId="6" fillId="0" borderId="0" xfId="1" applyFont="1"/>
    <xf numFmtId="0" fontId="6" fillId="0" borderId="0" xfId="1" applyFill="1"/>
    <xf numFmtId="0" fontId="7" fillId="0" borderId="0" xfId="0" applyFont="1"/>
    <xf numFmtId="14" fontId="0" fillId="0" borderId="0" xfId="0" applyNumberFormat="1" applyFill="1"/>
    <xf numFmtId="0" fontId="0" fillId="0" borderId="0" xfId="0" applyAlignment="1">
      <alignment vertical="top"/>
    </xf>
    <xf numFmtId="0" fontId="0" fillId="2" borderId="0" xfId="0" applyFill="1"/>
    <xf numFmtId="0" fontId="8" fillId="2" borderId="0" xfId="0" applyFont="1" applyFill="1"/>
    <xf numFmtId="0" fontId="9" fillId="0" borderId="0" xfId="0" applyFont="1" applyFill="1"/>
    <xf numFmtId="0" fontId="9" fillId="0" borderId="0" xfId="0" applyFont="1" applyFill="1" applyAlignment="1">
      <alignment wrapText="1"/>
    </xf>
    <xf numFmtId="0" fontId="5" fillId="0" borderId="0" xfId="2" applyFill="1"/>
    <xf numFmtId="0" fontId="6" fillId="0" borderId="0" xfId="1"/>
    <xf numFmtId="0" fontId="8" fillId="0" borderId="0" xfId="0" applyFont="1"/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left" vertical="center"/>
    </xf>
    <xf numFmtId="14" fontId="10" fillId="0" borderId="0" xfId="0" applyNumberFormat="1" applyFont="1" applyFill="1" applyAlignment="1">
      <alignment horizontal="left" vertical="center"/>
    </xf>
    <xf numFmtId="0" fontId="4" fillId="0" borderId="0" xfId="0" applyFont="1"/>
    <xf numFmtId="0" fontId="4" fillId="0" borderId="0" xfId="3" applyFont="1"/>
    <xf numFmtId="0" fontId="4" fillId="0" borderId="0" xfId="0" applyFont="1" applyFill="1"/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vertical="center"/>
    </xf>
    <xf numFmtId="14" fontId="4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left"/>
    </xf>
    <xf numFmtId="0" fontId="5" fillId="0" borderId="0" xfId="2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left" vertical="center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1" fillId="0" borderId="0" xfId="0" applyFont="1" applyFill="1" applyAlignment="1">
      <alignment vertical="top" wrapText="1"/>
    </xf>
  </cellXfs>
  <cellStyles count="4">
    <cellStyle name="Hyperlink" xfId="1" builtinId="8"/>
    <cellStyle name="Normal" xfId="0" builtinId="0"/>
    <cellStyle name="Normal 2" xfId="3" xr:uid="{00000000-0005-0000-0000-000002000000}"/>
    <cellStyle name="Normal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lasiahjotan@gmail.com" TargetMode="External"/><Relationship Id="rId2" Type="http://schemas.openxmlformats.org/officeDocument/2006/relationships/hyperlink" Target="mailto:d.burslem@abdn.ac.uk" TargetMode="External"/><Relationship Id="rId1" Type="http://schemas.openxmlformats.org/officeDocument/2006/relationships/hyperlink" Target="mailto:clarewilko@hotmail.co.uk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B8" sqref="B8"/>
    </sheetView>
  </sheetViews>
  <sheetFormatPr defaultColWidth="11.25" defaultRowHeight="15.75" x14ac:dyDescent="0.25"/>
  <cols>
    <col min="1" max="1" width="24.75" customWidth="1"/>
    <col min="2" max="2" width="22.25" customWidth="1"/>
    <col min="3" max="3" width="17.75" bestFit="1" customWidth="1"/>
  </cols>
  <sheetData>
    <row r="1" spans="1:8" x14ac:dyDescent="0.25">
      <c r="A1" t="s">
        <v>0</v>
      </c>
      <c r="B1">
        <v>55</v>
      </c>
    </row>
    <row r="2" spans="1:8" x14ac:dyDescent="0.25">
      <c r="A2" t="s">
        <v>1</v>
      </c>
      <c r="B2" t="s">
        <v>2</v>
      </c>
    </row>
    <row r="3" spans="1:8" x14ac:dyDescent="0.25">
      <c r="A3" t="s">
        <v>3</v>
      </c>
      <c r="B3" t="s">
        <v>126</v>
      </c>
    </row>
    <row r="4" spans="1:8" x14ac:dyDescent="0.25">
      <c r="A4" t="s">
        <v>4</v>
      </c>
      <c r="B4" t="s">
        <v>127</v>
      </c>
    </row>
    <row r="5" spans="1:8" x14ac:dyDescent="0.25">
      <c r="A5" t="s">
        <v>5</v>
      </c>
      <c r="B5" s="1">
        <v>44561</v>
      </c>
      <c r="D5" s="2"/>
      <c r="E5" s="2"/>
      <c r="F5" s="2"/>
      <c r="G5" s="2"/>
      <c r="H5" s="2"/>
    </row>
    <row r="6" spans="1:8" x14ac:dyDescent="0.25">
      <c r="A6" t="s">
        <v>6</v>
      </c>
      <c r="B6" t="s">
        <v>7</v>
      </c>
      <c r="C6" t="s">
        <v>1013</v>
      </c>
      <c r="D6" t="s">
        <v>1014</v>
      </c>
      <c r="E6" t="s">
        <v>8</v>
      </c>
      <c r="F6" s="2"/>
    </row>
    <row r="7" spans="1:8" s="3" customFormat="1" x14ac:dyDescent="0.25">
      <c r="A7" s="3" t="s">
        <v>9</v>
      </c>
      <c r="B7" s="4" t="s">
        <v>1026</v>
      </c>
      <c r="C7" s="14" t="s">
        <v>119</v>
      </c>
      <c r="D7" s="3" t="s">
        <v>120</v>
      </c>
      <c r="E7" s="4" t="s">
        <v>10</v>
      </c>
      <c r="F7" s="5"/>
    </row>
    <row r="8" spans="1:8" x14ac:dyDescent="0.25">
      <c r="A8" t="s">
        <v>11</v>
      </c>
      <c r="B8" t="s">
        <v>12</v>
      </c>
      <c r="C8" t="s">
        <v>121</v>
      </c>
      <c r="D8" t="s">
        <v>121</v>
      </c>
      <c r="E8" t="s">
        <v>13</v>
      </c>
      <c r="F8" s="2"/>
      <c r="G8" s="2"/>
      <c r="H8" s="2"/>
    </row>
    <row r="9" spans="1:8" x14ac:dyDescent="0.25">
      <c r="A9" t="s">
        <v>14</v>
      </c>
      <c r="B9" t="s">
        <v>15</v>
      </c>
      <c r="D9" s="2"/>
      <c r="E9" s="2"/>
      <c r="F9" s="2"/>
      <c r="G9" s="2"/>
      <c r="H9" s="2"/>
    </row>
    <row r="10" spans="1:8" x14ac:dyDescent="0.25">
      <c r="A10" t="s">
        <v>16</v>
      </c>
      <c r="B10" t="s">
        <v>122</v>
      </c>
    </row>
    <row r="11" spans="1:8" x14ac:dyDescent="0.25">
      <c r="A11" t="s">
        <v>17</v>
      </c>
      <c r="B11" t="s">
        <v>122</v>
      </c>
    </row>
    <row r="12" spans="1:8" x14ac:dyDescent="0.25">
      <c r="A12" t="s">
        <v>18</v>
      </c>
      <c r="B12" t="s">
        <v>127</v>
      </c>
    </row>
    <row r="13" spans="1:8" x14ac:dyDescent="0.25">
      <c r="A13" t="s">
        <v>19</v>
      </c>
      <c r="B13" s="2" t="s">
        <v>124</v>
      </c>
      <c r="C13" t="s">
        <v>123</v>
      </c>
      <c r="D13" t="s">
        <v>20</v>
      </c>
      <c r="E13" t="s">
        <v>21</v>
      </c>
      <c r="F13" t="s">
        <v>22</v>
      </c>
    </row>
    <row r="14" spans="1:8" x14ac:dyDescent="0.25">
      <c r="A14" t="s">
        <v>23</v>
      </c>
      <c r="B14" t="s">
        <v>24</v>
      </c>
    </row>
    <row r="15" spans="1:8" x14ac:dyDescent="0.25">
      <c r="A15" s="2" t="s">
        <v>25</v>
      </c>
      <c r="B15" t="s">
        <v>26</v>
      </c>
    </row>
    <row r="16" spans="1:8" x14ac:dyDescent="0.25">
      <c r="A16" s="2" t="s">
        <v>27</v>
      </c>
      <c r="B16" s="6" t="s">
        <v>28</v>
      </c>
    </row>
    <row r="17" spans="1:3" s="2" customFormat="1" x14ac:dyDescent="0.25">
      <c r="A17" s="2" t="s">
        <v>29</v>
      </c>
    </row>
    <row r="18" spans="1:3" x14ac:dyDescent="0.25">
      <c r="A18" t="s">
        <v>30</v>
      </c>
      <c r="B18" t="s">
        <v>31</v>
      </c>
    </row>
    <row r="19" spans="1:3" x14ac:dyDescent="0.25">
      <c r="A19" t="s">
        <v>32</v>
      </c>
      <c r="B19" t="s">
        <v>33</v>
      </c>
      <c r="C19" s="2"/>
    </row>
    <row r="20" spans="1:3" x14ac:dyDescent="0.25">
      <c r="A20" t="s">
        <v>34</v>
      </c>
      <c r="B20" t="s">
        <v>35</v>
      </c>
      <c r="C20" s="2"/>
    </row>
    <row r="21" spans="1:3" x14ac:dyDescent="0.25">
      <c r="A21" t="s">
        <v>36</v>
      </c>
      <c r="B21" s="7">
        <v>41760</v>
      </c>
      <c r="C21" s="2"/>
    </row>
    <row r="22" spans="1:3" x14ac:dyDescent="0.25">
      <c r="A22" t="s">
        <v>37</v>
      </c>
      <c r="B22" s="7">
        <v>43344</v>
      </c>
      <c r="C22" s="2"/>
    </row>
    <row r="23" spans="1:3" x14ac:dyDescent="0.25">
      <c r="A23" s="2" t="s">
        <v>38</v>
      </c>
      <c r="B23" s="2">
        <v>116.75</v>
      </c>
    </row>
    <row r="24" spans="1:3" x14ac:dyDescent="0.25">
      <c r="A24" s="2" t="s">
        <v>39</v>
      </c>
      <c r="B24" s="2">
        <v>117.82</v>
      </c>
    </row>
    <row r="25" spans="1:3" x14ac:dyDescent="0.25">
      <c r="A25" s="2" t="s">
        <v>40</v>
      </c>
      <c r="B25" s="2">
        <v>4.5</v>
      </c>
    </row>
    <row r="26" spans="1:3" x14ac:dyDescent="0.25">
      <c r="A26" s="2" t="s">
        <v>41</v>
      </c>
      <c r="B26" s="2">
        <v>5.07</v>
      </c>
    </row>
  </sheetData>
  <hyperlinks>
    <hyperlink ref="B7" r:id="rId1" display="clarewilko@hotmail.co.uk" xr:uid="{00000000-0004-0000-0000-000000000000}"/>
    <hyperlink ref="E7" r:id="rId2" xr:uid="{00000000-0004-0000-0000-000001000000}"/>
    <hyperlink ref="C7" r:id="rId3" xr:uid="{00000000-0004-0000-0000-000002000000}"/>
  </hyperlinks>
  <pageMargins left="0.75" right="0.75" top="1" bottom="1" header="0.5" footer="0.5"/>
  <pageSetup paperSize="9" orientation="portrait" horizontalDpi="4294967292" verticalDpi="4294967292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U746"/>
  <sheetViews>
    <sheetView workbookViewId="0">
      <selection activeCell="A246" sqref="A246"/>
    </sheetView>
  </sheetViews>
  <sheetFormatPr defaultColWidth="11.25" defaultRowHeight="15.75" x14ac:dyDescent="0.25"/>
  <cols>
    <col min="1" max="1" width="27.25" customWidth="1"/>
    <col min="2" max="2" width="26.25" customWidth="1"/>
    <col min="3" max="7" width="11.25" customWidth="1"/>
    <col min="8" max="9" width="27" bestFit="1" customWidth="1"/>
  </cols>
  <sheetData>
    <row r="1" spans="1:437" s="8" customFormat="1" ht="16.899999999999999" customHeight="1" x14ac:dyDescent="0.25">
      <c r="A1" t="s">
        <v>42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</row>
    <row r="2" spans="1:437" s="9" customFormat="1" x14ac:dyDescent="0.25">
      <c r="A2" t="s">
        <v>999</v>
      </c>
      <c r="B2" t="s">
        <v>128</v>
      </c>
      <c r="C2" t="s">
        <v>129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</row>
    <row r="3" spans="1:437" x14ac:dyDescent="0.25">
      <c r="A3" t="s">
        <v>130</v>
      </c>
      <c r="B3" t="s">
        <v>130</v>
      </c>
      <c r="C3" t="s">
        <v>49</v>
      </c>
    </row>
    <row r="4" spans="1:437" x14ac:dyDescent="0.25">
      <c r="A4" t="s">
        <v>131</v>
      </c>
      <c r="B4" t="s">
        <v>131</v>
      </c>
      <c r="C4" t="s">
        <v>49</v>
      </c>
    </row>
    <row r="5" spans="1:437" x14ac:dyDescent="0.25">
      <c r="A5" t="s">
        <v>132</v>
      </c>
      <c r="B5" t="s">
        <v>132</v>
      </c>
      <c r="C5" t="s">
        <v>49</v>
      </c>
    </row>
    <row r="6" spans="1:437" x14ac:dyDescent="0.25">
      <c r="A6" t="s">
        <v>133</v>
      </c>
      <c r="B6" t="s">
        <v>133</v>
      </c>
      <c r="C6" t="s">
        <v>49</v>
      </c>
    </row>
    <row r="7" spans="1:437" x14ac:dyDescent="0.25">
      <c r="A7" t="s">
        <v>134</v>
      </c>
      <c r="B7" t="s">
        <v>134</v>
      </c>
      <c r="C7" t="s">
        <v>49</v>
      </c>
    </row>
    <row r="8" spans="1:437" x14ac:dyDescent="0.25">
      <c r="A8" t="s">
        <v>135</v>
      </c>
      <c r="B8" t="s">
        <v>135</v>
      </c>
      <c r="C8" t="s">
        <v>49</v>
      </c>
    </row>
    <row r="9" spans="1:437" x14ac:dyDescent="0.25">
      <c r="A9" t="s">
        <v>136</v>
      </c>
      <c r="B9" t="s">
        <v>136</v>
      </c>
      <c r="C9" t="s">
        <v>49</v>
      </c>
    </row>
    <row r="10" spans="1:437" x14ac:dyDescent="0.25">
      <c r="A10" t="s">
        <v>137</v>
      </c>
      <c r="B10" t="s">
        <v>137</v>
      </c>
      <c r="C10" t="s">
        <v>49</v>
      </c>
    </row>
    <row r="11" spans="1:437" x14ac:dyDescent="0.25">
      <c r="A11" t="s">
        <v>138</v>
      </c>
      <c r="B11" t="s">
        <v>138</v>
      </c>
      <c r="C11" t="s">
        <v>49</v>
      </c>
    </row>
    <row r="12" spans="1:437" x14ac:dyDescent="0.25">
      <c r="A12" t="s">
        <v>139</v>
      </c>
      <c r="B12" t="s">
        <v>139</v>
      </c>
      <c r="C12" t="s">
        <v>49</v>
      </c>
    </row>
    <row r="13" spans="1:437" x14ac:dyDescent="0.25">
      <c r="A13" t="s">
        <v>140</v>
      </c>
      <c r="B13" t="s">
        <v>140</v>
      </c>
      <c r="C13" t="s">
        <v>49</v>
      </c>
    </row>
    <row r="14" spans="1:437" s="10" customFormat="1" x14ac:dyDescent="0.25">
      <c r="A14" t="s">
        <v>141</v>
      </c>
      <c r="B14" t="s">
        <v>141</v>
      </c>
      <c r="C14" t="s">
        <v>49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5"/>
      <c r="DQ14" s="15"/>
      <c r="DR14" s="15"/>
      <c r="DS14" s="15"/>
      <c r="DT14" s="15"/>
      <c r="DU14" s="15"/>
      <c r="DV14" s="15"/>
      <c r="DW14" s="15"/>
      <c r="DX14" s="15"/>
      <c r="DY14" s="15"/>
      <c r="DZ14" s="15"/>
      <c r="EA14" s="15"/>
      <c r="EB14" s="15"/>
      <c r="EC14" s="15"/>
      <c r="ED14" s="15"/>
      <c r="EE14" s="15"/>
      <c r="EF14" s="15"/>
      <c r="EG14" s="15"/>
      <c r="EH14" s="15"/>
      <c r="EI14" s="15"/>
      <c r="EJ14" s="15"/>
      <c r="EK14" s="15"/>
      <c r="EL14" s="15"/>
      <c r="EM14" s="15"/>
      <c r="EN14" s="15"/>
      <c r="EO14" s="15"/>
      <c r="EP14" s="15"/>
      <c r="EQ14" s="15"/>
      <c r="ER14" s="15"/>
      <c r="ES14" s="15"/>
      <c r="ET14" s="15"/>
      <c r="EU14" s="15"/>
      <c r="EV14" s="15"/>
      <c r="EW14" s="15"/>
      <c r="EX14" s="15"/>
      <c r="EY14" s="15"/>
      <c r="EZ14" s="15"/>
      <c r="FA14" s="15"/>
      <c r="FB14" s="15"/>
      <c r="FC14" s="15"/>
      <c r="FD14" s="15"/>
      <c r="FE14" s="15"/>
      <c r="FF14" s="15"/>
      <c r="FG14" s="15"/>
      <c r="FH14" s="15"/>
      <c r="FI14" s="15"/>
      <c r="FJ14" s="15"/>
      <c r="FK14" s="15"/>
      <c r="FL14" s="15"/>
      <c r="FM14" s="15"/>
      <c r="FN14" s="15"/>
      <c r="FO14" s="15"/>
      <c r="FP14" s="15"/>
      <c r="FQ14" s="15"/>
      <c r="FR14" s="15"/>
      <c r="FS14" s="15"/>
      <c r="FT14" s="15"/>
      <c r="FU14" s="15"/>
      <c r="FV14" s="15"/>
      <c r="FW14" s="15"/>
      <c r="FX14" s="15"/>
      <c r="FY14" s="15"/>
      <c r="FZ14" s="15"/>
      <c r="GA14" s="15"/>
      <c r="GB14" s="15"/>
      <c r="GC14" s="15"/>
      <c r="GD14" s="15"/>
      <c r="GE14" s="15"/>
      <c r="GF14" s="15"/>
      <c r="GG14" s="15"/>
      <c r="GH14" s="15"/>
      <c r="GI14" s="15"/>
      <c r="GJ14" s="15"/>
      <c r="GK14" s="15"/>
      <c r="GL14" s="15"/>
      <c r="GM14" s="15"/>
      <c r="GN14" s="15"/>
      <c r="GO14" s="15"/>
      <c r="GP14" s="15"/>
      <c r="GQ14" s="15"/>
      <c r="GR14" s="15"/>
      <c r="GS14" s="15"/>
      <c r="GT14" s="15"/>
      <c r="GU14" s="15"/>
      <c r="GV14" s="15"/>
      <c r="GW14" s="15"/>
      <c r="GX14" s="15"/>
      <c r="GY14" s="15"/>
      <c r="GZ14" s="15"/>
      <c r="HA14" s="15"/>
      <c r="HB14" s="15"/>
      <c r="HC14" s="15"/>
      <c r="HD14" s="15"/>
      <c r="HE14" s="15"/>
      <c r="HF14" s="15"/>
      <c r="HG14" s="15"/>
      <c r="HH14" s="15"/>
      <c r="HI14" s="15"/>
      <c r="HJ14" s="15"/>
      <c r="HK14" s="15"/>
      <c r="HL14" s="15"/>
      <c r="HM14" s="15"/>
      <c r="HN14" s="15"/>
      <c r="HO14" s="15"/>
      <c r="HP14" s="15"/>
      <c r="HQ14" s="15"/>
      <c r="HR14" s="15"/>
      <c r="HS14" s="15"/>
      <c r="HT14" s="15"/>
      <c r="HU14" s="15"/>
      <c r="HV14" s="15"/>
      <c r="HW14" s="15"/>
      <c r="HX14" s="15"/>
      <c r="HY14" s="15"/>
      <c r="HZ14" s="15"/>
      <c r="IA14" s="15"/>
      <c r="IB14" s="15"/>
      <c r="IC14" s="15"/>
      <c r="ID14" s="15"/>
      <c r="IE14" s="15"/>
      <c r="IF14" s="15"/>
      <c r="IG14" s="15"/>
      <c r="IH14" s="15"/>
      <c r="II14" s="15"/>
      <c r="IJ14" s="15"/>
      <c r="IK14" s="15"/>
      <c r="IL14" s="15"/>
      <c r="IM14" s="15"/>
      <c r="IN14" s="15"/>
      <c r="IO14" s="15"/>
      <c r="IP14" s="15"/>
      <c r="IQ14" s="15"/>
      <c r="IR14" s="15"/>
      <c r="IS14" s="15"/>
      <c r="IT14" s="15"/>
      <c r="IU14" s="15"/>
      <c r="IV14" s="15"/>
      <c r="IW14" s="15"/>
      <c r="IX14" s="15"/>
      <c r="IY14" s="15"/>
      <c r="IZ14" s="15"/>
      <c r="JA14" s="15"/>
      <c r="JB14" s="15"/>
      <c r="JC14" s="15"/>
      <c r="JD14" s="15"/>
      <c r="JE14" s="15"/>
      <c r="JF14" s="15"/>
      <c r="JG14" s="15"/>
      <c r="JH14" s="15"/>
      <c r="JI14" s="15"/>
      <c r="JJ14" s="15"/>
      <c r="JK14" s="15"/>
      <c r="JL14" s="15"/>
      <c r="JM14" s="15"/>
      <c r="JN14" s="15"/>
      <c r="JO14" s="15"/>
      <c r="JP14" s="15"/>
      <c r="JQ14" s="15"/>
      <c r="JR14" s="15"/>
      <c r="JS14" s="15"/>
      <c r="JT14" s="15"/>
      <c r="JU14" s="15"/>
      <c r="JV14" s="15"/>
      <c r="JW14" s="15"/>
      <c r="JX14" s="15"/>
      <c r="JY14" s="15"/>
      <c r="JZ14" s="15"/>
      <c r="KA14" s="15"/>
      <c r="KB14" s="15"/>
      <c r="KC14" s="15"/>
      <c r="KD14" s="15"/>
      <c r="KE14" s="15"/>
      <c r="KF14" s="15"/>
      <c r="KG14" s="15"/>
      <c r="KH14" s="15"/>
      <c r="KI14" s="15"/>
      <c r="KJ14" s="15"/>
      <c r="KK14" s="15"/>
      <c r="KL14" s="15"/>
      <c r="KM14" s="15"/>
      <c r="KN14" s="15"/>
      <c r="KO14" s="15"/>
      <c r="KP14" s="15"/>
      <c r="KQ14" s="15"/>
      <c r="KR14" s="15"/>
      <c r="KS14" s="15"/>
      <c r="KT14" s="15"/>
      <c r="KU14" s="15"/>
      <c r="KV14" s="15"/>
      <c r="KW14" s="15"/>
      <c r="KX14" s="15"/>
      <c r="KY14" s="15"/>
      <c r="KZ14" s="15"/>
      <c r="LA14" s="15"/>
      <c r="LB14" s="15"/>
      <c r="LC14" s="15"/>
      <c r="LD14" s="15"/>
      <c r="LE14" s="15"/>
      <c r="LF14" s="15"/>
      <c r="LG14" s="15"/>
      <c r="LH14" s="15"/>
      <c r="LI14" s="15"/>
      <c r="LJ14" s="15"/>
      <c r="LK14" s="15"/>
      <c r="LL14" s="15"/>
      <c r="LM14" s="15"/>
      <c r="LN14" s="15"/>
      <c r="LO14" s="15"/>
      <c r="LP14" s="15"/>
      <c r="LQ14" s="15"/>
      <c r="LR14" s="15"/>
      <c r="LS14" s="15"/>
      <c r="LT14" s="15"/>
      <c r="LU14" s="15"/>
      <c r="LV14" s="15"/>
      <c r="LW14" s="15"/>
      <c r="LX14" s="15"/>
      <c r="LY14" s="15"/>
      <c r="LZ14" s="15"/>
      <c r="MA14" s="15"/>
      <c r="MB14" s="15"/>
      <c r="MC14" s="15"/>
      <c r="MD14" s="15"/>
      <c r="ME14" s="15"/>
      <c r="MF14" s="15"/>
      <c r="MG14" s="15"/>
      <c r="MH14" s="15"/>
      <c r="MI14" s="15"/>
      <c r="MJ14" s="15"/>
      <c r="MK14" s="15"/>
      <c r="ML14" s="15"/>
      <c r="MM14" s="15"/>
      <c r="MN14" s="15"/>
      <c r="MO14" s="15"/>
      <c r="MP14" s="15"/>
      <c r="MQ14" s="15"/>
      <c r="MR14" s="15"/>
      <c r="MS14" s="15"/>
      <c r="MT14" s="15"/>
      <c r="MU14" s="15"/>
      <c r="MV14" s="15"/>
      <c r="MW14" s="15"/>
      <c r="MX14" s="15"/>
      <c r="MY14" s="15"/>
      <c r="MZ14" s="15"/>
      <c r="NA14" s="15"/>
      <c r="NB14" s="15"/>
      <c r="NC14" s="15"/>
      <c r="ND14" s="15"/>
      <c r="NE14" s="15"/>
      <c r="NF14" s="15"/>
      <c r="NG14" s="15"/>
      <c r="NH14" s="15"/>
      <c r="NI14" s="15"/>
      <c r="NJ14" s="15"/>
      <c r="NK14" s="15"/>
      <c r="NL14" s="15"/>
      <c r="NM14" s="15"/>
      <c r="NN14" s="15"/>
      <c r="NO14" s="15"/>
      <c r="NP14" s="15"/>
      <c r="NQ14" s="15"/>
      <c r="NR14" s="15"/>
      <c r="NS14" s="15"/>
      <c r="NT14" s="15"/>
      <c r="NU14" s="15"/>
      <c r="NV14" s="15"/>
      <c r="NW14" s="15"/>
      <c r="NX14" s="15"/>
      <c r="NY14" s="15"/>
      <c r="NZ14" s="15"/>
      <c r="OA14" s="15"/>
      <c r="OB14" s="15"/>
      <c r="OC14" s="15"/>
      <c r="OD14" s="15"/>
      <c r="OE14" s="15"/>
      <c r="OF14" s="15"/>
      <c r="OG14" s="15"/>
      <c r="OH14" s="15"/>
      <c r="OI14" s="15"/>
      <c r="OJ14" s="15"/>
      <c r="OK14" s="15"/>
      <c r="OL14" s="15"/>
      <c r="OM14" s="15"/>
      <c r="ON14" s="15"/>
      <c r="OO14" s="15"/>
      <c r="OP14" s="15"/>
      <c r="OQ14" s="15"/>
      <c r="OR14" s="15"/>
      <c r="OS14" s="15"/>
      <c r="OT14" s="15"/>
      <c r="OU14" s="15"/>
      <c r="OV14" s="15"/>
      <c r="OW14" s="15"/>
      <c r="OX14" s="15"/>
      <c r="OY14" s="15"/>
      <c r="OZ14" s="15"/>
      <c r="PA14" s="15"/>
      <c r="PB14" s="15"/>
      <c r="PC14" s="15"/>
      <c r="PD14" s="15"/>
      <c r="PE14" s="15"/>
      <c r="PF14" s="15"/>
      <c r="PG14" s="15"/>
      <c r="PH14" s="15"/>
      <c r="PI14" s="15"/>
      <c r="PJ14" s="15"/>
      <c r="PK14" s="15"/>
      <c r="PL14" s="15"/>
      <c r="PM14" s="15"/>
      <c r="PN14" s="15"/>
      <c r="PO14" s="15"/>
      <c r="PP14" s="15"/>
      <c r="PQ14" s="15"/>
      <c r="PR14" s="15"/>
      <c r="PS14" s="15"/>
      <c r="PT14" s="15"/>
      <c r="PU14" s="15"/>
    </row>
    <row r="15" spans="1:437" x14ac:dyDescent="0.25">
      <c r="A15" t="s">
        <v>142</v>
      </c>
      <c r="B15" t="s">
        <v>142</v>
      </c>
      <c r="C15" t="s">
        <v>49</v>
      </c>
    </row>
    <row r="16" spans="1:437" x14ac:dyDescent="0.25">
      <c r="A16" t="s">
        <v>143</v>
      </c>
      <c r="B16" t="s">
        <v>143</v>
      </c>
      <c r="C16" t="s">
        <v>49</v>
      </c>
    </row>
    <row r="17" spans="1:437" x14ac:dyDescent="0.25">
      <c r="A17" t="s">
        <v>692</v>
      </c>
      <c r="B17" t="s">
        <v>144</v>
      </c>
      <c r="C17" t="s">
        <v>129</v>
      </c>
    </row>
    <row r="18" spans="1:437" s="9" customFormat="1" x14ac:dyDescent="0.25">
      <c r="A18" t="s">
        <v>145</v>
      </c>
      <c r="B18" t="s">
        <v>145</v>
      </c>
      <c r="C18" t="s">
        <v>49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</row>
    <row r="19" spans="1:437" x14ac:dyDescent="0.25">
      <c r="A19" t="s">
        <v>146</v>
      </c>
      <c r="B19" t="s">
        <v>146</v>
      </c>
      <c r="C19" t="s">
        <v>49</v>
      </c>
    </row>
    <row r="20" spans="1:437" x14ac:dyDescent="0.25">
      <c r="A20" t="s">
        <v>147</v>
      </c>
      <c r="B20" t="s">
        <v>147</v>
      </c>
      <c r="C20" t="s">
        <v>49</v>
      </c>
    </row>
    <row r="21" spans="1:437" x14ac:dyDescent="0.25">
      <c r="A21" t="s">
        <v>148</v>
      </c>
      <c r="B21" t="s">
        <v>148</v>
      </c>
      <c r="C21" t="s">
        <v>49</v>
      </c>
    </row>
    <row r="22" spans="1:437" x14ac:dyDescent="0.25">
      <c r="A22" t="s">
        <v>149</v>
      </c>
      <c r="B22" t="s">
        <v>149</v>
      </c>
      <c r="C22" t="s">
        <v>49</v>
      </c>
    </row>
    <row r="23" spans="1:437" x14ac:dyDescent="0.25">
      <c r="A23" t="s">
        <v>150</v>
      </c>
      <c r="B23" t="s">
        <v>150</v>
      </c>
      <c r="C23" t="s">
        <v>49</v>
      </c>
    </row>
    <row r="24" spans="1:437" x14ac:dyDescent="0.25">
      <c r="A24" t="s">
        <v>151</v>
      </c>
      <c r="B24" t="s">
        <v>151</v>
      </c>
      <c r="C24" t="s">
        <v>49</v>
      </c>
    </row>
    <row r="25" spans="1:437" x14ac:dyDescent="0.25">
      <c r="A25" t="s">
        <v>152</v>
      </c>
      <c r="B25" t="s">
        <v>152</v>
      </c>
      <c r="C25" t="s">
        <v>49</v>
      </c>
    </row>
    <row r="26" spans="1:437" x14ac:dyDescent="0.25">
      <c r="A26" t="s">
        <v>153</v>
      </c>
      <c r="B26" t="s">
        <v>153</v>
      </c>
      <c r="C26" t="s">
        <v>49</v>
      </c>
    </row>
    <row r="27" spans="1:437" x14ac:dyDescent="0.25">
      <c r="A27" t="s">
        <v>154</v>
      </c>
      <c r="B27" t="s">
        <v>154</v>
      </c>
      <c r="C27" t="s">
        <v>49</v>
      </c>
    </row>
    <row r="28" spans="1:437" x14ac:dyDescent="0.25">
      <c r="A28" t="s">
        <v>155</v>
      </c>
      <c r="B28" t="s">
        <v>155</v>
      </c>
      <c r="C28" t="s">
        <v>49</v>
      </c>
    </row>
    <row r="29" spans="1:437" x14ac:dyDescent="0.25">
      <c r="A29" t="s">
        <v>156</v>
      </c>
      <c r="B29" t="s">
        <v>156</v>
      </c>
      <c r="C29" t="s">
        <v>49</v>
      </c>
    </row>
    <row r="30" spans="1:437" x14ac:dyDescent="0.25">
      <c r="A30" t="s">
        <v>157</v>
      </c>
      <c r="B30" t="s">
        <v>157</v>
      </c>
      <c r="C30" t="s">
        <v>49</v>
      </c>
    </row>
    <row r="31" spans="1:437" x14ac:dyDescent="0.25">
      <c r="A31" t="s">
        <v>158</v>
      </c>
      <c r="B31" t="s">
        <v>158</v>
      </c>
      <c r="C31" t="s">
        <v>49</v>
      </c>
    </row>
    <row r="32" spans="1:437" x14ac:dyDescent="0.25">
      <c r="A32" t="s">
        <v>894</v>
      </c>
      <c r="B32" t="s">
        <v>159</v>
      </c>
      <c r="C32" t="s">
        <v>49</v>
      </c>
    </row>
    <row r="33" spans="1:437" x14ac:dyDescent="0.25">
      <c r="A33" t="s">
        <v>159</v>
      </c>
      <c r="B33" t="s">
        <v>160</v>
      </c>
      <c r="C33" t="s">
        <v>129</v>
      </c>
    </row>
    <row r="34" spans="1:437" x14ac:dyDescent="0.25">
      <c r="A34" t="s">
        <v>161</v>
      </c>
      <c r="B34" t="s">
        <v>161</v>
      </c>
      <c r="C34" t="s">
        <v>49</v>
      </c>
    </row>
    <row r="35" spans="1:437" x14ac:dyDescent="0.25">
      <c r="A35" t="s">
        <v>162</v>
      </c>
      <c r="B35" t="s">
        <v>162</v>
      </c>
      <c r="C35" t="s">
        <v>49</v>
      </c>
    </row>
    <row r="36" spans="1:437" s="9" customFormat="1" x14ac:dyDescent="0.25">
      <c r="A36" t="s">
        <v>163</v>
      </c>
      <c r="B36" t="s">
        <v>163</v>
      </c>
      <c r="C36" t="s">
        <v>49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</row>
    <row r="37" spans="1:437" x14ac:dyDescent="0.25">
      <c r="A37" t="s">
        <v>164</v>
      </c>
      <c r="B37" t="s">
        <v>164</v>
      </c>
      <c r="C37" t="s">
        <v>49</v>
      </c>
    </row>
    <row r="38" spans="1:437" x14ac:dyDescent="0.25">
      <c r="A38" t="s">
        <v>165</v>
      </c>
      <c r="B38" t="s">
        <v>165</v>
      </c>
      <c r="C38" t="s">
        <v>49</v>
      </c>
    </row>
    <row r="39" spans="1:437" x14ac:dyDescent="0.25">
      <c r="A39" t="s">
        <v>166</v>
      </c>
      <c r="B39" t="s">
        <v>166</v>
      </c>
      <c r="C39" t="s">
        <v>49</v>
      </c>
    </row>
    <row r="40" spans="1:437" x14ac:dyDescent="0.25">
      <c r="A40" t="s">
        <v>167</v>
      </c>
      <c r="B40" t="s">
        <v>167</v>
      </c>
      <c r="C40" t="s">
        <v>49</v>
      </c>
    </row>
    <row r="41" spans="1:437" x14ac:dyDescent="0.25">
      <c r="A41" t="s">
        <v>168</v>
      </c>
      <c r="B41" t="s">
        <v>168</v>
      </c>
      <c r="C41" t="s">
        <v>49</v>
      </c>
    </row>
    <row r="42" spans="1:437" x14ac:dyDescent="0.25">
      <c r="A42" t="s">
        <v>169</v>
      </c>
      <c r="B42" t="s">
        <v>169</v>
      </c>
      <c r="C42" t="s">
        <v>49</v>
      </c>
    </row>
    <row r="43" spans="1:437" x14ac:dyDescent="0.25">
      <c r="A43" t="s">
        <v>170</v>
      </c>
      <c r="B43" t="s">
        <v>170</v>
      </c>
      <c r="C43" t="s">
        <v>49</v>
      </c>
    </row>
    <row r="44" spans="1:437" x14ac:dyDescent="0.25">
      <c r="A44" t="s">
        <v>171</v>
      </c>
      <c r="B44" t="s">
        <v>171</v>
      </c>
      <c r="C44" t="s">
        <v>49</v>
      </c>
    </row>
    <row r="45" spans="1:437" x14ac:dyDescent="0.25">
      <c r="A45" t="s">
        <v>172</v>
      </c>
      <c r="B45" t="s">
        <v>172</v>
      </c>
      <c r="C45" t="s">
        <v>49</v>
      </c>
    </row>
    <row r="46" spans="1:437" x14ac:dyDescent="0.25">
      <c r="A46" t="s">
        <v>173</v>
      </c>
      <c r="B46" t="s">
        <v>173</v>
      </c>
      <c r="C46" t="s">
        <v>49</v>
      </c>
    </row>
    <row r="47" spans="1:437" x14ac:dyDescent="0.25">
      <c r="A47" t="s">
        <v>174</v>
      </c>
      <c r="B47" t="s">
        <v>174</v>
      </c>
      <c r="C47" t="s">
        <v>49</v>
      </c>
    </row>
    <row r="48" spans="1:437" x14ac:dyDescent="0.25">
      <c r="A48" t="s">
        <v>175</v>
      </c>
      <c r="B48" t="s">
        <v>175</v>
      </c>
      <c r="C48" t="s">
        <v>49</v>
      </c>
    </row>
    <row r="49" spans="1:437" x14ac:dyDescent="0.25">
      <c r="A49" t="s">
        <v>176</v>
      </c>
      <c r="B49" t="s">
        <v>176</v>
      </c>
      <c r="C49" t="s">
        <v>49</v>
      </c>
    </row>
    <row r="50" spans="1:437" x14ac:dyDescent="0.25">
      <c r="A50" t="s">
        <v>833</v>
      </c>
      <c r="B50" t="s">
        <v>177</v>
      </c>
      <c r="C50" t="s">
        <v>129</v>
      </c>
    </row>
    <row r="51" spans="1:437" x14ac:dyDescent="0.25">
      <c r="A51" t="s">
        <v>178</v>
      </c>
      <c r="B51" t="s">
        <v>178</v>
      </c>
      <c r="C51" t="s">
        <v>49</v>
      </c>
    </row>
    <row r="52" spans="1:437" x14ac:dyDescent="0.25">
      <c r="A52" t="s">
        <v>179</v>
      </c>
      <c r="B52" t="s">
        <v>179</v>
      </c>
      <c r="C52" t="s">
        <v>49</v>
      </c>
    </row>
    <row r="53" spans="1:437" x14ac:dyDescent="0.25">
      <c r="A53" t="s">
        <v>181</v>
      </c>
      <c r="B53" t="s">
        <v>181</v>
      </c>
      <c r="C53" t="s">
        <v>49</v>
      </c>
    </row>
    <row r="54" spans="1:437" x14ac:dyDescent="0.25">
      <c r="A54" t="s">
        <v>525</v>
      </c>
      <c r="B54" t="s">
        <v>180</v>
      </c>
      <c r="C54" t="s">
        <v>129</v>
      </c>
    </row>
    <row r="55" spans="1:437" x14ac:dyDescent="0.25">
      <c r="A55" t="s">
        <v>500</v>
      </c>
      <c r="B55" t="s">
        <v>182</v>
      </c>
      <c r="C55" t="s">
        <v>129</v>
      </c>
    </row>
    <row r="56" spans="1:437" x14ac:dyDescent="0.25">
      <c r="A56" t="s">
        <v>184</v>
      </c>
      <c r="B56" t="s">
        <v>184</v>
      </c>
      <c r="C56" t="s">
        <v>49</v>
      </c>
    </row>
    <row r="57" spans="1:437" x14ac:dyDescent="0.25">
      <c r="A57" t="s">
        <v>185</v>
      </c>
      <c r="B57" t="s">
        <v>185</v>
      </c>
      <c r="C57" t="s">
        <v>49</v>
      </c>
    </row>
    <row r="58" spans="1:437" x14ac:dyDescent="0.25">
      <c r="A58" t="s">
        <v>186</v>
      </c>
      <c r="B58" t="s">
        <v>186</v>
      </c>
      <c r="C58" t="s">
        <v>49</v>
      </c>
    </row>
    <row r="59" spans="1:437" x14ac:dyDescent="0.25">
      <c r="A59" t="s">
        <v>399</v>
      </c>
      <c r="B59" t="s">
        <v>187</v>
      </c>
      <c r="C59" t="s">
        <v>129</v>
      </c>
    </row>
    <row r="60" spans="1:437" x14ac:dyDescent="0.25">
      <c r="A60" t="s">
        <v>188</v>
      </c>
      <c r="B60" t="s">
        <v>188</v>
      </c>
      <c r="C60" t="s">
        <v>49</v>
      </c>
    </row>
    <row r="61" spans="1:437" x14ac:dyDescent="0.25">
      <c r="A61" t="s">
        <v>189</v>
      </c>
      <c r="B61" t="s">
        <v>189</v>
      </c>
      <c r="C61" t="s">
        <v>49</v>
      </c>
    </row>
    <row r="62" spans="1:437" x14ac:dyDescent="0.25">
      <c r="A62" t="s">
        <v>190</v>
      </c>
      <c r="B62" t="s">
        <v>190</v>
      </c>
      <c r="C62" t="s">
        <v>49</v>
      </c>
    </row>
    <row r="63" spans="1:437" x14ac:dyDescent="0.25">
      <c r="A63" t="s">
        <v>191</v>
      </c>
      <c r="B63" t="s">
        <v>191</v>
      </c>
      <c r="C63" t="s">
        <v>49</v>
      </c>
    </row>
    <row r="64" spans="1:437" s="9" customFormat="1" x14ac:dyDescent="0.25">
      <c r="A64" t="s">
        <v>192</v>
      </c>
      <c r="B64" t="s">
        <v>192</v>
      </c>
      <c r="C64" t="s">
        <v>49</v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</row>
    <row r="65" spans="1:3" x14ac:dyDescent="0.25">
      <c r="A65" t="s">
        <v>193</v>
      </c>
      <c r="B65" t="s">
        <v>193</v>
      </c>
      <c r="C65" t="s">
        <v>49</v>
      </c>
    </row>
    <row r="66" spans="1:3" x14ac:dyDescent="0.25">
      <c r="A66" t="s">
        <v>194</v>
      </c>
      <c r="B66" t="s">
        <v>194</v>
      </c>
      <c r="C66" t="s">
        <v>49</v>
      </c>
    </row>
    <row r="67" spans="1:3" x14ac:dyDescent="0.25">
      <c r="A67" t="s">
        <v>195</v>
      </c>
      <c r="B67" t="s">
        <v>195</v>
      </c>
      <c r="C67" t="s">
        <v>49</v>
      </c>
    </row>
    <row r="68" spans="1:3" x14ac:dyDescent="0.25">
      <c r="A68" t="s">
        <v>196</v>
      </c>
      <c r="B68" t="s">
        <v>196</v>
      </c>
      <c r="C68" t="s">
        <v>49</v>
      </c>
    </row>
    <row r="69" spans="1:3" x14ac:dyDescent="0.25">
      <c r="A69" t="s">
        <v>197</v>
      </c>
      <c r="B69" t="s">
        <v>197</v>
      </c>
      <c r="C69" t="s">
        <v>49</v>
      </c>
    </row>
    <row r="70" spans="1:3" x14ac:dyDescent="0.25">
      <c r="A70" t="s">
        <v>198</v>
      </c>
      <c r="B70" t="s">
        <v>198</v>
      </c>
      <c r="C70" t="s">
        <v>49</v>
      </c>
    </row>
    <row r="71" spans="1:3" x14ac:dyDescent="0.25">
      <c r="A71" t="s">
        <v>199</v>
      </c>
      <c r="B71" t="s">
        <v>199</v>
      </c>
      <c r="C71" t="s">
        <v>49</v>
      </c>
    </row>
    <row r="72" spans="1:3" x14ac:dyDescent="0.25">
      <c r="A72" t="s">
        <v>200</v>
      </c>
      <c r="B72" t="s">
        <v>200</v>
      </c>
      <c r="C72" t="s">
        <v>49</v>
      </c>
    </row>
    <row r="73" spans="1:3" x14ac:dyDescent="0.25">
      <c r="A73" t="s">
        <v>201</v>
      </c>
      <c r="B73" t="s">
        <v>201</v>
      </c>
      <c r="C73" t="s">
        <v>49</v>
      </c>
    </row>
    <row r="74" spans="1:3" x14ac:dyDescent="0.25">
      <c r="A74" t="s">
        <v>202</v>
      </c>
      <c r="B74" t="s">
        <v>202</v>
      </c>
      <c r="C74" t="s">
        <v>49</v>
      </c>
    </row>
    <row r="75" spans="1:3" x14ac:dyDescent="0.25">
      <c r="A75" t="s">
        <v>203</v>
      </c>
      <c r="B75" t="s">
        <v>203</v>
      </c>
      <c r="C75" t="s">
        <v>49</v>
      </c>
    </row>
    <row r="76" spans="1:3" x14ac:dyDescent="0.25">
      <c r="A76" t="s">
        <v>559</v>
      </c>
      <c r="B76" t="s">
        <v>204</v>
      </c>
      <c r="C76" t="s">
        <v>49</v>
      </c>
    </row>
    <row r="77" spans="1:3" x14ac:dyDescent="0.25">
      <c r="A77" t="s">
        <v>205</v>
      </c>
      <c r="B77" t="s">
        <v>205</v>
      </c>
      <c r="C77" t="s">
        <v>49</v>
      </c>
    </row>
    <row r="78" spans="1:3" x14ac:dyDescent="0.25">
      <c r="A78" t="s">
        <v>206</v>
      </c>
      <c r="B78" t="s">
        <v>206</v>
      </c>
      <c r="C78" t="s">
        <v>49</v>
      </c>
    </row>
    <row r="79" spans="1:3" x14ac:dyDescent="0.25">
      <c r="A79" t="s">
        <v>207</v>
      </c>
      <c r="B79" t="s">
        <v>207</v>
      </c>
      <c r="C79" t="s">
        <v>49</v>
      </c>
    </row>
    <row r="80" spans="1:3" x14ac:dyDescent="0.25">
      <c r="A80" t="s">
        <v>208</v>
      </c>
      <c r="B80" t="s">
        <v>208</v>
      </c>
      <c r="C80" t="s">
        <v>49</v>
      </c>
    </row>
    <row r="81" spans="1:4" x14ac:dyDescent="0.25">
      <c r="A81" t="s">
        <v>209</v>
      </c>
      <c r="B81" t="s">
        <v>209</v>
      </c>
      <c r="C81" t="s">
        <v>49</v>
      </c>
    </row>
    <row r="82" spans="1:4" x14ac:dyDescent="0.25">
      <c r="A82" t="s">
        <v>210</v>
      </c>
      <c r="B82" t="s">
        <v>210</v>
      </c>
      <c r="C82" t="s">
        <v>49</v>
      </c>
    </row>
    <row r="83" spans="1:4" x14ac:dyDescent="0.25">
      <c r="A83" t="s">
        <v>448</v>
      </c>
      <c r="B83" t="s">
        <v>211</v>
      </c>
      <c r="C83" t="s">
        <v>129</v>
      </c>
    </row>
    <row r="84" spans="1:4" x14ac:dyDescent="0.25">
      <c r="A84" t="s">
        <v>212</v>
      </c>
      <c r="B84" t="s">
        <v>212</v>
      </c>
      <c r="C84" t="s">
        <v>49</v>
      </c>
    </row>
    <row r="85" spans="1:4" x14ac:dyDescent="0.25">
      <c r="A85" t="s">
        <v>213</v>
      </c>
      <c r="B85" t="s">
        <v>213</v>
      </c>
      <c r="C85" t="s">
        <v>49</v>
      </c>
    </row>
    <row r="86" spans="1:4" x14ac:dyDescent="0.25">
      <c r="A86" t="s">
        <v>214</v>
      </c>
      <c r="B86" t="s">
        <v>214</v>
      </c>
      <c r="C86" t="s">
        <v>49</v>
      </c>
    </row>
    <row r="87" spans="1:4" x14ac:dyDescent="0.25">
      <c r="A87" t="s">
        <v>215</v>
      </c>
      <c r="B87" t="s">
        <v>215</v>
      </c>
      <c r="C87" t="s">
        <v>49</v>
      </c>
    </row>
    <row r="88" spans="1:4" x14ac:dyDescent="0.25">
      <c r="A88" t="s">
        <v>216</v>
      </c>
      <c r="B88" t="s">
        <v>216</v>
      </c>
      <c r="C88" t="s">
        <v>49</v>
      </c>
    </row>
    <row r="89" spans="1:4" x14ac:dyDescent="0.25">
      <c r="A89" t="s">
        <v>217</v>
      </c>
      <c r="B89" t="s">
        <v>217</v>
      </c>
      <c r="C89" t="s">
        <v>49</v>
      </c>
    </row>
    <row r="90" spans="1:4" x14ac:dyDescent="0.25">
      <c r="A90" t="s">
        <v>218</v>
      </c>
      <c r="B90" t="s">
        <v>218</v>
      </c>
      <c r="C90" t="s">
        <v>49</v>
      </c>
    </row>
    <row r="91" spans="1:4" x14ac:dyDescent="0.25">
      <c r="A91" t="s">
        <v>219</v>
      </c>
      <c r="B91" t="s">
        <v>219</v>
      </c>
      <c r="C91" t="s">
        <v>49</v>
      </c>
    </row>
    <row r="92" spans="1:4" x14ac:dyDescent="0.25">
      <c r="A92" t="s">
        <v>220</v>
      </c>
      <c r="B92" t="s">
        <v>220</v>
      </c>
      <c r="C92" t="s">
        <v>49</v>
      </c>
    </row>
    <row r="93" spans="1:4" x14ac:dyDescent="0.25">
      <c r="A93" t="s">
        <v>221</v>
      </c>
      <c r="B93" t="s">
        <v>221</v>
      </c>
      <c r="C93" t="s">
        <v>49</v>
      </c>
      <c r="D93" s="13">
        <v>3234563</v>
      </c>
    </row>
    <row r="94" spans="1:4" x14ac:dyDescent="0.25">
      <c r="A94" t="s">
        <v>222</v>
      </c>
      <c r="B94" t="s">
        <v>222</v>
      </c>
      <c r="C94" t="s">
        <v>49</v>
      </c>
    </row>
    <row r="95" spans="1:4" x14ac:dyDescent="0.25">
      <c r="A95" t="s">
        <v>223</v>
      </c>
      <c r="B95" t="s">
        <v>223</v>
      </c>
      <c r="C95" t="s">
        <v>49</v>
      </c>
    </row>
    <row r="96" spans="1:4" x14ac:dyDescent="0.25">
      <c r="A96" t="s">
        <v>224</v>
      </c>
      <c r="B96" t="s">
        <v>224</v>
      </c>
      <c r="C96" t="s">
        <v>49</v>
      </c>
    </row>
    <row r="97" spans="1:437" s="9" customFormat="1" ht="16.149999999999999" customHeight="1" x14ac:dyDescent="0.25">
      <c r="A97" t="s">
        <v>225</v>
      </c>
      <c r="B97" t="s">
        <v>225</v>
      </c>
      <c r="C97" t="s">
        <v>49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  <c r="GU97"/>
      <c r="GV97"/>
      <c r="GW97"/>
      <c r="GX97"/>
      <c r="GY97"/>
      <c r="GZ97"/>
      <c r="HA97"/>
      <c r="HB97"/>
      <c r="HC97"/>
      <c r="HD97"/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/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/>
      <c r="JB97"/>
      <c r="JC97"/>
      <c r="JD97"/>
      <c r="JE97"/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/>
      <c r="KO97"/>
      <c r="KP97"/>
      <c r="KQ97"/>
      <c r="KR97"/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/>
      <c r="LL97"/>
      <c r="LM97"/>
      <c r="LN97"/>
      <c r="LO97"/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  <c r="MK97"/>
      <c r="ML97"/>
      <c r="MM97"/>
      <c r="MN97"/>
      <c r="MO97"/>
      <c r="MP97"/>
      <c r="MQ97"/>
      <c r="MR97"/>
      <c r="MS97"/>
      <c r="MT97"/>
      <c r="MU97"/>
      <c r="MV97"/>
      <c r="MW97"/>
      <c r="MX97"/>
      <c r="MY97"/>
      <c r="MZ97"/>
      <c r="NA97"/>
      <c r="NB97"/>
      <c r="NC97"/>
      <c r="ND97"/>
      <c r="NE97"/>
      <c r="NF97"/>
      <c r="NG97"/>
      <c r="NH97"/>
      <c r="NI97"/>
      <c r="NJ97"/>
      <c r="NK97"/>
      <c r="NL97"/>
      <c r="NM97"/>
      <c r="NN97"/>
      <c r="NO97"/>
      <c r="NP97"/>
      <c r="NQ97"/>
      <c r="NR97"/>
      <c r="NS97"/>
      <c r="NT97"/>
      <c r="NU97"/>
      <c r="NV97"/>
      <c r="NW97"/>
      <c r="NX97"/>
      <c r="NY97"/>
      <c r="NZ97"/>
      <c r="OA97"/>
      <c r="OB97"/>
      <c r="OC97"/>
      <c r="OD97"/>
      <c r="OE97"/>
      <c r="OF97"/>
      <c r="OG97"/>
      <c r="OH97"/>
      <c r="OI97"/>
      <c r="OJ97"/>
      <c r="OK97"/>
      <c r="OL97"/>
      <c r="OM97"/>
      <c r="ON97"/>
      <c r="OO97"/>
      <c r="OP97"/>
      <c r="OQ97"/>
      <c r="OR97"/>
      <c r="OS97"/>
      <c r="OT97"/>
      <c r="OU97"/>
      <c r="OV97"/>
      <c r="OW97"/>
      <c r="OX97"/>
      <c r="OY97"/>
      <c r="OZ97"/>
      <c r="PA97"/>
      <c r="PB97"/>
      <c r="PC97"/>
      <c r="PD97"/>
      <c r="PE97"/>
      <c r="PF97"/>
      <c r="PG97"/>
      <c r="PH97"/>
      <c r="PI97"/>
      <c r="PJ97"/>
      <c r="PK97"/>
      <c r="PL97"/>
      <c r="PM97"/>
      <c r="PN97"/>
      <c r="PO97"/>
      <c r="PP97"/>
      <c r="PQ97"/>
      <c r="PR97"/>
      <c r="PS97"/>
      <c r="PT97"/>
      <c r="PU97"/>
    </row>
    <row r="98" spans="1:437" x14ac:dyDescent="0.25">
      <c r="A98" t="s">
        <v>226</v>
      </c>
      <c r="B98" t="s">
        <v>226</v>
      </c>
      <c r="C98" t="s">
        <v>49</v>
      </c>
    </row>
    <row r="99" spans="1:437" x14ac:dyDescent="0.25">
      <c r="A99" t="s">
        <v>705</v>
      </c>
      <c r="B99" t="s">
        <v>227</v>
      </c>
      <c r="C99" t="s">
        <v>129</v>
      </c>
    </row>
    <row r="100" spans="1:437" x14ac:dyDescent="0.25">
      <c r="A100" t="s">
        <v>228</v>
      </c>
      <c r="B100" t="s">
        <v>228</v>
      </c>
      <c r="C100" t="s">
        <v>49</v>
      </c>
    </row>
    <row r="101" spans="1:437" x14ac:dyDescent="0.25">
      <c r="A101" t="s">
        <v>229</v>
      </c>
      <c r="B101" t="s">
        <v>229</v>
      </c>
      <c r="C101" t="s">
        <v>49</v>
      </c>
    </row>
    <row r="102" spans="1:437" x14ac:dyDescent="0.25">
      <c r="A102" t="s">
        <v>230</v>
      </c>
      <c r="B102" t="s">
        <v>230</v>
      </c>
      <c r="C102" t="s">
        <v>49</v>
      </c>
    </row>
    <row r="103" spans="1:437" x14ac:dyDescent="0.25">
      <c r="A103" t="s">
        <v>231</v>
      </c>
      <c r="B103" t="s">
        <v>231</v>
      </c>
      <c r="C103" t="s">
        <v>49</v>
      </c>
    </row>
    <row r="104" spans="1:437" x14ac:dyDescent="0.25">
      <c r="A104" t="s">
        <v>232</v>
      </c>
      <c r="B104" t="s">
        <v>232</v>
      </c>
      <c r="C104" t="s">
        <v>49</v>
      </c>
    </row>
    <row r="105" spans="1:437" x14ac:dyDescent="0.25">
      <c r="A105" t="s">
        <v>233</v>
      </c>
      <c r="B105" t="s">
        <v>233</v>
      </c>
      <c r="C105" t="s">
        <v>49</v>
      </c>
    </row>
    <row r="106" spans="1:437" x14ac:dyDescent="0.25">
      <c r="A106" t="s">
        <v>234</v>
      </c>
      <c r="B106" t="s">
        <v>234</v>
      </c>
      <c r="C106" t="s">
        <v>49</v>
      </c>
    </row>
    <row r="107" spans="1:437" x14ac:dyDescent="0.25">
      <c r="A107" t="s">
        <v>235</v>
      </c>
      <c r="B107" t="s">
        <v>235</v>
      </c>
      <c r="C107" t="s">
        <v>49</v>
      </c>
    </row>
    <row r="108" spans="1:437" x14ac:dyDescent="0.25">
      <c r="A108" t="s">
        <v>236</v>
      </c>
      <c r="B108" t="s">
        <v>236</v>
      </c>
      <c r="C108" t="s">
        <v>49</v>
      </c>
    </row>
    <row r="109" spans="1:437" x14ac:dyDescent="0.25">
      <c r="A109" t="s">
        <v>608</v>
      </c>
      <c r="B109" t="s">
        <v>237</v>
      </c>
      <c r="C109" t="s">
        <v>129</v>
      </c>
    </row>
    <row r="110" spans="1:437" x14ac:dyDescent="0.25">
      <c r="A110" t="s">
        <v>238</v>
      </c>
      <c r="B110" t="s">
        <v>238</v>
      </c>
      <c r="C110" t="s">
        <v>49</v>
      </c>
    </row>
    <row r="111" spans="1:437" x14ac:dyDescent="0.25">
      <c r="A111" t="s">
        <v>239</v>
      </c>
      <c r="B111" t="s">
        <v>239</v>
      </c>
      <c r="C111" t="s">
        <v>49</v>
      </c>
    </row>
    <row r="112" spans="1:437" x14ac:dyDescent="0.25">
      <c r="A112" t="s">
        <v>240</v>
      </c>
      <c r="B112" t="s">
        <v>240</v>
      </c>
      <c r="C112" t="s">
        <v>49</v>
      </c>
    </row>
    <row r="113" spans="1:437" x14ac:dyDescent="0.25">
      <c r="A113" t="s">
        <v>241</v>
      </c>
      <c r="B113" t="s">
        <v>241</v>
      </c>
      <c r="C113" t="s">
        <v>49</v>
      </c>
    </row>
    <row r="114" spans="1:437" x14ac:dyDescent="0.25">
      <c r="A114" t="s">
        <v>242</v>
      </c>
      <c r="B114" t="s">
        <v>242</v>
      </c>
      <c r="C114" t="s">
        <v>49</v>
      </c>
    </row>
    <row r="115" spans="1:437" x14ac:dyDescent="0.25">
      <c r="A115" t="s">
        <v>243</v>
      </c>
      <c r="B115" t="s">
        <v>243</v>
      </c>
      <c r="C115" t="s">
        <v>49</v>
      </c>
    </row>
    <row r="116" spans="1:437" x14ac:dyDescent="0.25">
      <c r="A116" t="s">
        <v>926</v>
      </c>
      <c r="B116" t="s">
        <v>244</v>
      </c>
      <c r="C116" t="s">
        <v>129</v>
      </c>
    </row>
    <row r="117" spans="1:437" x14ac:dyDescent="0.25">
      <c r="A117" t="s">
        <v>245</v>
      </c>
      <c r="B117" t="s">
        <v>245</v>
      </c>
      <c r="C117" t="s">
        <v>49</v>
      </c>
    </row>
    <row r="118" spans="1:437" s="9" customFormat="1" x14ac:dyDescent="0.25">
      <c r="A118" t="s">
        <v>246</v>
      </c>
      <c r="B118" t="s">
        <v>246</v>
      </c>
      <c r="C118" t="s">
        <v>49</v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/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/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  <c r="MK118"/>
      <c r="ML118"/>
      <c r="MM118"/>
      <c r="MN118"/>
      <c r="MO118"/>
      <c r="MP118"/>
      <c r="MQ118"/>
      <c r="MR118"/>
      <c r="MS118"/>
      <c r="MT118"/>
      <c r="MU118"/>
      <c r="MV118"/>
      <c r="MW118"/>
      <c r="MX118"/>
      <c r="MY118"/>
      <c r="MZ118"/>
      <c r="NA118"/>
      <c r="NB118"/>
      <c r="NC118"/>
      <c r="ND118"/>
      <c r="NE118"/>
      <c r="NF118"/>
      <c r="NG118"/>
      <c r="NH118"/>
      <c r="NI118"/>
      <c r="NJ118"/>
      <c r="NK118"/>
      <c r="NL118"/>
      <c r="NM118"/>
      <c r="NN118"/>
      <c r="NO118"/>
      <c r="NP118"/>
      <c r="NQ118"/>
      <c r="NR118"/>
      <c r="NS118"/>
      <c r="NT118"/>
      <c r="NU118"/>
      <c r="NV118"/>
      <c r="NW118"/>
      <c r="NX118"/>
      <c r="NY118"/>
      <c r="NZ118"/>
      <c r="OA118"/>
      <c r="OB118"/>
      <c r="OC118"/>
      <c r="OD118"/>
      <c r="OE118"/>
      <c r="OF118"/>
      <c r="OG118"/>
      <c r="OH118"/>
      <c r="OI118"/>
      <c r="OJ118"/>
      <c r="OK118"/>
      <c r="OL118"/>
      <c r="OM118"/>
      <c r="ON118"/>
      <c r="OO118"/>
      <c r="OP118"/>
      <c r="OQ118"/>
      <c r="OR118"/>
      <c r="OS118"/>
      <c r="OT118"/>
      <c r="OU118"/>
      <c r="OV118"/>
      <c r="OW118"/>
      <c r="OX118"/>
      <c r="OY118"/>
      <c r="OZ118"/>
      <c r="PA118"/>
      <c r="PB118"/>
      <c r="PC118"/>
      <c r="PD118"/>
      <c r="PE118"/>
      <c r="PF118"/>
      <c r="PG118"/>
      <c r="PH118"/>
      <c r="PI118"/>
      <c r="PJ118"/>
      <c r="PK118"/>
      <c r="PL118"/>
      <c r="PM118"/>
      <c r="PN118"/>
      <c r="PO118"/>
      <c r="PP118"/>
      <c r="PQ118"/>
      <c r="PR118"/>
      <c r="PS118"/>
      <c r="PT118"/>
      <c r="PU118"/>
    </row>
    <row r="119" spans="1:437" x14ac:dyDescent="0.25">
      <c r="A119" t="s">
        <v>247</v>
      </c>
      <c r="B119" t="s">
        <v>247</v>
      </c>
      <c r="C119" t="s">
        <v>49</v>
      </c>
    </row>
    <row r="120" spans="1:437" x14ac:dyDescent="0.25">
      <c r="A120" t="s">
        <v>248</v>
      </c>
      <c r="B120" t="s">
        <v>248</v>
      </c>
      <c r="C120" t="s">
        <v>49</v>
      </c>
    </row>
    <row r="121" spans="1:437" x14ac:dyDescent="0.25">
      <c r="A121" t="s">
        <v>249</v>
      </c>
      <c r="B121" t="s">
        <v>249</v>
      </c>
      <c r="C121" t="s">
        <v>49</v>
      </c>
    </row>
    <row r="122" spans="1:437" x14ac:dyDescent="0.25">
      <c r="A122" t="s">
        <v>250</v>
      </c>
      <c r="B122" t="s">
        <v>250</v>
      </c>
      <c r="C122" t="s">
        <v>49</v>
      </c>
    </row>
    <row r="123" spans="1:437" x14ac:dyDescent="0.25">
      <c r="A123" t="s">
        <v>251</v>
      </c>
      <c r="B123" t="s">
        <v>251</v>
      </c>
      <c r="C123" t="s">
        <v>49</v>
      </c>
    </row>
    <row r="124" spans="1:437" x14ac:dyDescent="0.25">
      <c r="A124" t="s">
        <v>252</v>
      </c>
      <c r="B124" t="s">
        <v>252</v>
      </c>
      <c r="C124" t="s">
        <v>49</v>
      </c>
    </row>
    <row r="125" spans="1:437" x14ac:dyDescent="0.25">
      <c r="A125" t="s">
        <v>829</v>
      </c>
      <c r="B125" t="s">
        <v>253</v>
      </c>
      <c r="C125" t="s">
        <v>129</v>
      </c>
    </row>
    <row r="126" spans="1:437" x14ac:dyDescent="0.25">
      <c r="A126" t="s">
        <v>254</v>
      </c>
      <c r="B126" t="s">
        <v>254</v>
      </c>
      <c r="C126" t="s">
        <v>49</v>
      </c>
    </row>
    <row r="127" spans="1:437" x14ac:dyDescent="0.25">
      <c r="A127" t="s">
        <v>593</v>
      </c>
      <c r="B127" t="s">
        <v>253</v>
      </c>
      <c r="C127" t="s">
        <v>129</v>
      </c>
    </row>
    <row r="128" spans="1:437" x14ac:dyDescent="0.25">
      <c r="A128" t="s">
        <v>255</v>
      </c>
      <c r="B128" t="s">
        <v>255</v>
      </c>
      <c r="C128" t="s">
        <v>49</v>
      </c>
    </row>
    <row r="129" spans="1:3" x14ac:dyDescent="0.25">
      <c r="A129" t="s">
        <v>256</v>
      </c>
      <c r="B129" t="s">
        <v>256</v>
      </c>
      <c r="C129" t="s">
        <v>49</v>
      </c>
    </row>
    <row r="130" spans="1:3" x14ac:dyDescent="0.25">
      <c r="A130" t="s">
        <v>257</v>
      </c>
      <c r="B130" t="s">
        <v>257</v>
      </c>
      <c r="C130" t="s">
        <v>49</v>
      </c>
    </row>
    <row r="131" spans="1:3" x14ac:dyDescent="0.25">
      <c r="A131" t="s">
        <v>258</v>
      </c>
      <c r="B131" t="s">
        <v>258</v>
      </c>
      <c r="C131" t="s">
        <v>49</v>
      </c>
    </row>
    <row r="132" spans="1:3" x14ac:dyDescent="0.25">
      <c r="A132" t="s">
        <v>259</v>
      </c>
      <c r="B132" t="s">
        <v>259</v>
      </c>
      <c r="C132" t="s">
        <v>49</v>
      </c>
    </row>
    <row r="133" spans="1:3" x14ac:dyDescent="0.25">
      <c r="A133" t="s">
        <v>260</v>
      </c>
      <c r="B133" t="s">
        <v>260</v>
      </c>
      <c r="C133" t="s">
        <v>49</v>
      </c>
    </row>
    <row r="134" spans="1:3" x14ac:dyDescent="0.25">
      <c r="A134" t="s">
        <v>261</v>
      </c>
      <c r="B134" t="s">
        <v>261</v>
      </c>
      <c r="C134" t="s">
        <v>49</v>
      </c>
    </row>
    <row r="135" spans="1:3" x14ac:dyDescent="0.25">
      <c r="A135" t="s">
        <v>262</v>
      </c>
      <c r="B135" t="s">
        <v>262</v>
      </c>
      <c r="C135" t="s">
        <v>49</v>
      </c>
    </row>
    <row r="136" spans="1:3" x14ac:dyDescent="0.25">
      <c r="A136" t="s">
        <v>263</v>
      </c>
      <c r="B136" t="s">
        <v>263</v>
      </c>
      <c r="C136" t="s">
        <v>49</v>
      </c>
    </row>
    <row r="137" spans="1:3" x14ac:dyDescent="0.25">
      <c r="A137" t="s">
        <v>264</v>
      </c>
      <c r="B137" t="s">
        <v>264</v>
      </c>
      <c r="C137" t="s">
        <v>49</v>
      </c>
    </row>
    <row r="138" spans="1:3" x14ac:dyDescent="0.25">
      <c r="A138" t="s">
        <v>265</v>
      </c>
      <c r="B138" t="s">
        <v>265</v>
      </c>
      <c r="C138" t="s">
        <v>49</v>
      </c>
    </row>
    <row r="139" spans="1:3" x14ac:dyDescent="0.25">
      <c r="A139" t="s">
        <v>266</v>
      </c>
      <c r="B139" t="s">
        <v>266</v>
      </c>
      <c r="C139" t="s">
        <v>49</v>
      </c>
    </row>
    <row r="140" spans="1:3" x14ac:dyDescent="0.25">
      <c r="A140" t="s">
        <v>50</v>
      </c>
      <c r="B140" t="s">
        <v>50</v>
      </c>
      <c r="C140" t="s">
        <v>49</v>
      </c>
    </row>
    <row r="141" spans="1:3" x14ac:dyDescent="0.25">
      <c r="A141" t="s">
        <v>267</v>
      </c>
      <c r="B141" t="s">
        <v>267</v>
      </c>
      <c r="C141" t="s">
        <v>49</v>
      </c>
    </row>
    <row r="142" spans="1:3" x14ac:dyDescent="0.25">
      <c r="A142" t="s">
        <v>268</v>
      </c>
      <c r="B142" t="s">
        <v>268</v>
      </c>
      <c r="C142" t="s">
        <v>49</v>
      </c>
    </row>
    <row r="143" spans="1:3" x14ac:dyDescent="0.25">
      <c r="A143" t="s">
        <v>269</v>
      </c>
      <c r="B143" t="s">
        <v>269</v>
      </c>
      <c r="C143" t="s">
        <v>49</v>
      </c>
    </row>
    <row r="144" spans="1:3" x14ac:dyDescent="0.25">
      <c r="A144" t="s">
        <v>270</v>
      </c>
      <c r="B144" t="s">
        <v>270</v>
      </c>
      <c r="C144" t="s">
        <v>49</v>
      </c>
    </row>
    <row r="145" spans="1:3" x14ac:dyDescent="0.25">
      <c r="A145" t="s">
        <v>271</v>
      </c>
      <c r="B145" t="s">
        <v>271</v>
      </c>
      <c r="C145" t="s">
        <v>49</v>
      </c>
    </row>
    <row r="146" spans="1:3" x14ac:dyDescent="0.25">
      <c r="A146" t="s">
        <v>272</v>
      </c>
      <c r="B146" t="s">
        <v>272</v>
      </c>
      <c r="C146" t="s">
        <v>49</v>
      </c>
    </row>
    <row r="147" spans="1:3" x14ac:dyDescent="0.25">
      <c r="A147" t="s">
        <v>273</v>
      </c>
      <c r="B147" t="s">
        <v>273</v>
      </c>
      <c r="C147" t="s">
        <v>49</v>
      </c>
    </row>
    <row r="148" spans="1:3" x14ac:dyDescent="0.25">
      <c r="A148" t="s">
        <v>274</v>
      </c>
      <c r="B148" t="s">
        <v>274</v>
      </c>
      <c r="C148" t="s">
        <v>49</v>
      </c>
    </row>
    <row r="149" spans="1:3" x14ac:dyDescent="0.25">
      <c r="A149" t="s">
        <v>275</v>
      </c>
      <c r="B149" t="s">
        <v>275</v>
      </c>
      <c r="C149" t="s">
        <v>49</v>
      </c>
    </row>
    <row r="150" spans="1:3" x14ac:dyDescent="0.25">
      <c r="A150" t="s">
        <v>276</v>
      </c>
      <c r="B150" t="s">
        <v>276</v>
      </c>
      <c r="C150" t="s">
        <v>49</v>
      </c>
    </row>
    <row r="151" spans="1:3" x14ac:dyDescent="0.25">
      <c r="A151" t="s">
        <v>277</v>
      </c>
      <c r="B151" t="s">
        <v>277</v>
      </c>
      <c r="C151" t="s">
        <v>49</v>
      </c>
    </row>
    <row r="152" spans="1:3" x14ac:dyDescent="0.25">
      <c r="A152" t="s">
        <v>278</v>
      </c>
      <c r="B152" t="s">
        <v>278</v>
      </c>
      <c r="C152" t="s">
        <v>49</v>
      </c>
    </row>
    <row r="153" spans="1:3" x14ac:dyDescent="0.25">
      <c r="A153" t="s">
        <v>279</v>
      </c>
      <c r="B153" t="s">
        <v>279</v>
      </c>
      <c r="C153" t="s">
        <v>49</v>
      </c>
    </row>
    <row r="154" spans="1:3" x14ac:dyDescent="0.25">
      <c r="A154" t="s">
        <v>280</v>
      </c>
      <c r="B154" t="s">
        <v>280</v>
      </c>
      <c r="C154" t="s">
        <v>49</v>
      </c>
    </row>
    <row r="155" spans="1:3" x14ac:dyDescent="0.25">
      <c r="A155" t="s">
        <v>281</v>
      </c>
      <c r="B155" t="s">
        <v>281</v>
      </c>
      <c r="C155" t="s">
        <v>49</v>
      </c>
    </row>
    <row r="156" spans="1:3" x14ac:dyDescent="0.25">
      <c r="A156" t="s">
        <v>282</v>
      </c>
      <c r="B156" t="s">
        <v>282</v>
      </c>
      <c r="C156" t="s">
        <v>49</v>
      </c>
    </row>
    <row r="157" spans="1:3" x14ac:dyDescent="0.25">
      <c r="A157" t="s">
        <v>283</v>
      </c>
      <c r="B157" t="s">
        <v>283</v>
      </c>
      <c r="C157" t="s">
        <v>49</v>
      </c>
    </row>
    <row r="158" spans="1:3" x14ac:dyDescent="0.25">
      <c r="A158" t="s">
        <v>284</v>
      </c>
      <c r="B158" t="s">
        <v>284</v>
      </c>
      <c r="C158" t="s">
        <v>49</v>
      </c>
    </row>
    <row r="159" spans="1:3" x14ac:dyDescent="0.25">
      <c r="A159" t="s">
        <v>285</v>
      </c>
      <c r="B159" t="s">
        <v>285</v>
      </c>
      <c r="C159" t="s">
        <v>49</v>
      </c>
    </row>
    <row r="160" spans="1:3" x14ac:dyDescent="0.25">
      <c r="A160" t="s">
        <v>286</v>
      </c>
      <c r="B160" t="s">
        <v>286</v>
      </c>
      <c r="C160" t="s">
        <v>49</v>
      </c>
    </row>
    <row r="161" spans="1:3" x14ac:dyDescent="0.25">
      <c r="A161" t="s">
        <v>287</v>
      </c>
      <c r="B161" t="s">
        <v>287</v>
      </c>
      <c r="C161" t="s">
        <v>49</v>
      </c>
    </row>
    <row r="162" spans="1:3" x14ac:dyDescent="0.25">
      <c r="A162" t="s">
        <v>288</v>
      </c>
      <c r="B162" t="s">
        <v>288</v>
      </c>
      <c r="C162" t="s">
        <v>49</v>
      </c>
    </row>
    <row r="163" spans="1:3" x14ac:dyDescent="0.25">
      <c r="A163" t="s">
        <v>716</v>
      </c>
      <c r="B163" t="s">
        <v>289</v>
      </c>
      <c r="C163" t="s">
        <v>129</v>
      </c>
    </row>
    <row r="164" spans="1:3" x14ac:dyDescent="0.25">
      <c r="A164" t="s">
        <v>290</v>
      </c>
      <c r="B164" t="s">
        <v>290</v>
      </c>
      <c r="C164" t="s">
        <v>49</v>
      </c>
    </row>
    <row r="165" spans="1:3" x14ac:dyDescent="0.25">
      <c r="A165" t="s">
        <v>291</v>
      </c>
      <c r="B165" t="s">
        <v>291</v>
      </c>
      <c r="C165" t="s">
        <v>49</v>
      </c>
    </row>
    <row r="166" spans="1:3" x14ac:dyDescent="0.25">
      <c r="A166" t="s">
        <v>292</v>
      </c>
      <c r="B166" t="s">
        <v>292</v>
      </c>
      <c r="C166" t="s">
        <v>49</v>
      </c>
    </row>
    <row r="167" spans="1:3" x14ac:dyDescent="0.25">
      <c r="A167" t="s">
        <v>293</v>
      </c>
      <c r="B167" t="s">
        <v>293</v>
      </c>
      <c r="C167" t="s">
        <v>49</v>
      </c>
    </row>
    <row r="168" spans="1:3" x14ac:dyDescent="0.25">
      <c r="A168" t="s">
        <v>294</v>
      </c>
      <c r="B168" t="s">
        <v>294</v>
      </c>
      <c r="C168" t="s">
        <v>49</v>
      </c>
    </row>
    <row r="169" spans="1:3" x14ac:dyDescent="0.25">
      <c r="A169" t="s">
        <v>295</v>
      </c>
      <c r="B169" t="s">
        <v>295</v>
      </c>
      <c r="C169" t="s">
        <v>49</v>
      </c>
    </row>
    <row r="170" spans="1:3" x14ac:dyDescent="0.25">
      <c r="A170" t="s">
        <v>622</v>
      </c>
      <c r="B170" t="s">
        <v>296</v>
      </c>
      <c r="C170" t="s">
        <v>49</v>
      </c>
    </row>
    <row r="171" spans="1:3" x14ac:dyDescent="0.25">
      <c r="A171" t="s">
        <v>505</v>
      </c>
      <c r="B171" t="s">
        <v>297</v>
      </c>
      <c r="C171" t="s">
        <v>129</v>
      </c>
    </row>
    <row r="172" spans="1:3" x14ac:dyDescent="0.25">
      <c r="A172" t="s">
        <v>298</v>
      </c>
      <c r="B172" t="s">
        <v>298</v>
      </c>
      <c r="C172" t="s">
        <v>49</v>
      </c>
    </row>
    <row r="173" spans="1:3" x14ac:dyDescent="0.25">
      <c r="A173" t="s">
        <v>299</v>
      </c>
      <c r="B173" t="s">
        <v>299</v>
      </c>
      <c r="C173" t="s">
        <v>49</v>
      </c>
    </row>
    <row r="174" spans="1:3" x14ac:dyDescent="0.25">
      <c r="A174" t="s">
        <v>300</v>
      </c>
      <c r="B174" t="s">
        <v>300</v>
      </c>
      <c r="C174" t="s">
        <v>49</v>
      </c>
    </row>
    <row r="175" spans="1:3" x14ac:dyDescent="0.25">
      <c r="A175" t="s">
        <v>301</v>
      </c>
      <c r="B175" t="s">
        <v>301</v>
      </c>
      <c r="C175" t="s">
        <v>49</v>
      </c>
    </row>
    <row r="176" spans="1:3" x14ac:dyDescent="0.25">
      <c r="A176" t="s">
        <v>302</v>
      </c>
      <c r="B176" t="s">
        <v>302</v>
      </c>
      <c r="C176" t="s">
        <v>49</v>
      </c>
    </row>
    <row r="177" spans="1:3" x14ac:dyDescent="0.25">
      <c r="A177" t="s">
        <v>303</v>
      </c>
      <c r="B177" t="s">
        <v>303</v>
      </c>
      <c r="C177" t="s">
        <v>49</v>
      </c>
    </row>
    <row r="178" spans="1:3" x14ac:dyDescent="0.25">
      <c r="A178" t="s">
        <v>304</v>
      </c>
      <c r="B178" t="s">
        <v>304</v>
      </c>
      <c r="C178" t="s">
        <v>49</v>
      </c>
    </row>
    <row r="179" spans="1:3" x14ac:dyDescent="0.25">
      <c r="A179" t="s">
        <v>305</v>
      </c>
      <c r="B179" t="s">
        <v>305</v>
      </c>
      <c r="C179" t="s">
        <v>49</v>
      </c>
    </row>
    <row r="180" spans="1:3" x14ac:dyDescent="0.25">
      <c r="A180" t="s">
        <v>306</v>
      </c>
      <c r="B180" t="s">
        <v>306</v>
      </c>
      <c r="C180" t="s">
        <v>49</v>
      </c>
    </row>
    <row r="181" spans="1:3" x14ac:dyDescent="0.25">
      <c r="A181" t="s">
        <v>307</v>
      </c>
      <c r="B181" t="s">
        <v>307</v>
      </c>
      <c r="C181" t="s">
        <v>49</v>
      </c>
    </row>
    <row r="182" spans="1:3" x14ac:dyDescent="0.25">
      <c r="A182" t="s">
        <v>397</v>
      </c>
      <c r="B182" t="s">
        <v>308</v>
      </c>
      <c r="C182" t="s">
        <v>183</v>
      </c>
    </row>
    <row r="183" spans="1:3" x14ac:dyDescent="0.25">
      <c r="A183" t="s">
        <v>309</v>
      </c>
      <c r="B183" t="s">
        <v>309</v>
      </c>
      <c r="C183" t="s">
        <v>49</v>
      </c>
    </row>
    <row r="184" spans="1:3" x14ac:dyDescent="0.25">
      <c r="A184" t="s">
        <v>310</v>
      </c>
      <c r="B184" t="s">
        <v>310</v>
      </c>
      <c r="C184" t="s">
        <v>49</v>
      </c>
    </row>
    <row r="185" spans="1:3" x14ac:dyDescent="0.25">
      <c r="A185" t="s">
        <v>411</v>
      </c>
      <c r="B185" t="s">
        <v>311</v>
      </c>
      <c r="C185" t="s">
        <v>129</v>
      </c>
    </row>
    <row r="186" spans="1:3" x14ac:dyDescent="0.25">
      <c r="A186" t="s">
        <v>312</v>
      </c>
      <c r="B186" t="s">
        <v>312</v>
      </c>
      <c r="C186" t="s">
        <v>49</v>
      </c>
    </row>
    <row r="187" spans="1:3" x14ac:dyDescent="0.25">
      <c r="A187" t="s">
        <v>313</v>
      </c>
      <c r="B187" t="s">
        <v>313</v>
      </c>
      <c r="C187" t="s">
        <v>49</v>
      </c>
    </row>
    <row r="188" spans="1:3" x14ac:dyDescent="0.25">
      <c r="A188" t="s">
        <v>314</v>
      </c>
      <c r="B188" t="s">
        <v>314</v>
      </c>
      <c r="C188" t="s">
        <v>49</v>
      </c>
    </row>
    <row r="189" spans="1:3" x14ac:dyDescent="0.25">
      <c r="A189" t="s">
        <v>315</v>
      </c>
      <c r="B189" t="s">
        <v>315</v>
      </c>
      <c r="C189" t="s">
        <v>49</v>
      </c>
    </row>
    <row r="190" spans="1:3" x14ac:dyDescent="0.25">
      <c r="A190" t="s">
        <v>401</v>
      </c>
      <c r="B190" t="s">
        <v>316</v>
      </c>
      <c r="C190" t="s">
        <v>49</v>
      </c>
    </row>
    <row r="191" spans="1:3" x14ac:dyDescent="0.25">
      <c r="A191" t="s">
        <v>317</v>
      </c>
      <c r="B191" t="s">
        <v>317</v>
      </c>
      <c r="C191" t="s">
        <v>49</v>
      </c>
    </row>
    <row r="192" spans="1:3" x14ac:dyDescent="0.25">
      <c r="A192" t="s">
        <v>318</v>
      </c>
      <c r="B192" t="s">
        <v>318</v>
      </c>
      <c r="C192" t="s">
        <v>49</v>
      </c>
    </row>
    <row r="193" spans="1:3" x14ac:dyDescent="0.25">
      <c r="A193" t="s">
        <v>319</v>
      </c>
      <c r="B193" t="s">
        <v>319</v>
      </c>
      <c r="C193" t="s">
        <v>49</v>
      </c>
    </row>
    <row r="194" spans="1:3" x14ac:dyDescent="0.25">
      <c r="A194" t="s">
        <v>320</v>
      </c>
      <c r="B194" t="s">
        <v>320</v>
      </c>
      <c r="C194" t="s">
        <v>49</v>
      </c>
    </row>
    <row r="195" spans="1:3" x14ac:dyDescent="0.25">
      <c r="A195" t="s">
        <v>321</v>
      </c>
      <c r="B195" t="s">
        <v>321</v>
      </c>
      <c r="C195" t="s">
        <v>49</v>
      </c>
    </row>
    <row r="196" spans="1:3" x14ac:dyDescent="0.25">
      <c r="A196" t="s">
        <v>322</v>
      </c>
      <c r="B196" t="s">
        <v>322</v>
      </c>
      <c r="C196" t="s">
        <v>49</v>
      </c>
    </row>
    <row r="197" spans="1:3" x14ac:dyDescent="0.25">
      <c r="A197" t="s">
        <v>323</v>
      </c>
      <c r="B197" t="s">
        <v>323</v>
      </c>
      <c r="C197" t="s">
        <v>49</v>
      </c>
    </row>
    <row r="198" spans="1:3" x14ac:dyDescent="0.25">
      <c r="A198" t="s">
        <v>324</v>
      </c>
      <c r="B198" t="s">
        <v>324</v>
      </c>
      <c r="C198" t="s">
        <v>49</v>
      </c>
    </row>
    <row r="199" spans="1:3" x14ac:dyDescent="0.25">
      <c r="A199" t="s">
        <v>325</v>
      </c>
      <c r="B199" t="s">
        <v>325</v>
      </c>
      <c r="C199" t="s">
        <v>49</v>
      </c>
    </row>
    <row r="200" spans="1:3" x14ac:dyDescent="0.25">
      <c r="A200" t="s">
        <v>326</v>
      </c>
      <c r="B200" t="s">
        <v>326</v>
      </c>
      <c r="C200" t="s">
        <v>49</v>
      </c>
    </row>
    <row r="201" spans="1:3" x14ac:dyDescent="0.25">
      <c r="A201" t="s">
        <v>327</v>
      </c>
      <c r="B201" t="s">
        <v>327</v>
      </c>
      <c r="C201" t="s">
        <v>49</v>
      </c>
    </row>
    <row r="202" spans="1:3" x14ac:dyDescent="0.25">
      <c r="A202" t="s">
        <v>328</v>
      </c>
      <c r="B202" t="s">
        <v>328</v>
      </c>
      <c r="C202" t="s">
        <v>49</v>
      </c>
    </row>
    <row r="203" spans="1:3" x14ac:dyDescent="0.25">
      <c r="A203" s="15" t="s">
        <v>329</v>
      </c>
      <c r="B203" t="s">
        <v>329</v>
      </c>
      <c r="C203" t="s">
        <v>49</v>
      </c>
    </row>
    <row r="204" spans="1:3" x14ac:dyDescent="0.25">
      <c r="A204" t="s">
        <v>330</v>
      </c>
      <c r="B204" t="s">
        <v>330</v>
      </c>
      <c r="C204" t="s">
        <v>49</v>
      </c>
    </row>
    <row r="205" spans="1:3" x14ac:dyDescent="0.25">
      <c r="A205" t="s">
        <v>331</v>
      </c>
      <c r="B205" t="s">
        <v>331</v>
      </c>
      <c r="C205" t="s">
        <v>49</v>
      </c>
    </row>
    <row r="206" spans="1:3" x14ac:dyDescent="0.25">
      <c r="A206" t="s">
        <v>332</v>
      </c>
      <c r="B206" t="s">
        <v>332</v>
      </c>
      <c r="C206" t="s">
        <v>49</v>
      </c>
    </row>
    <row r="207" spans="1:3" x14ac:dyDescent="0.25">
      <c r="A207" t="s">
        <v>713</v>
      </c>
      <c r="B207" t="s">
        <v>333</v>
      </c>
      <c r="C207" t="s">
        <v>129</v>
      </c>
    </row>
    <row r="208" spans="1:3" x14ac:dyDescent="0.25">
      <c r="A208" t="s">
        <v>334</v>
      </c>
      <c r="B208" t="s">
        <v>334</v>
      </c>
      <c r="C208" t="s">
        <v>49</v>
      </c>
    </row>
    <row r="209" spans="1:3" x14ac:dyDescent="0.25">
      <c r="A209" t="s">
        <v>335</v>
      </c>
      <c r="B209" t="s">
        <v>335</v>
      </c>
      <c r="C209" t="s">
        <v>49</v>
      </c>
    </row>
    <row r="210" spans="1:3" x14ac:dyDescent="0.25">
      <c r="A210" t="s">
        <v>336</v>
      </c>
      <c r="B210" t="s">
        <v>336</v>
      </c>
      <c r="C210" t="s">
        <v>49</v>
      </c>
    </row>
    <row r="211" spans="1:3" x14ac:dyDescent="0.25">
      <c r="A211" t="s">
        <v>337</v>
      </c>
      <c r="B211" t="s">
        <v>337</v>
      </c>
      <c r="C211" t="s">
        <v>49</v>
      </c>
    </row>
    <row r="212" spans="1:3" x14ac:dyDescent="0.25">
      <c r="A212" t="s">
        <v>409</v>
      </c>
      <c r="B212" t="s">
        <v>333</v>
      </c>
      <c r="C212" t="s">
        <v>129</v>
      </c>
    </row>
    <row r="213" spans="1:3" x14ac:dyDescent="0.25">
      <c r="A213" t="s">
        <v>338</v>
      </c>
      <c r="B213" t="s">
        <v>338</v>
      </c>
      <c r="C213" t="s">
        <v>49</v>
      </c>
    </row>
    <row r="214" spans="1:3" x14ac:dyDescent="0.25">
      <c r="A214" t="s">
        <v>339</v>
      </c>
      <c r="B214" t="s">
        <v>339</v>
      </c>
      <c r="C214" t="s">
        <v>49</v>
      </c>
    </row>
    <row r="215" spans="1:3" x14ac:dyDescent="0.25">
      <c r="A215" t="s">
        <v>340</v>
      </c>
      <c r="B215" t="s">
        <v>340</v>
      </c>
      <c r="C215" t="s">
        <v>49</v>
      </c>
    </row>
    <row r="216" spans="1:3" x14ac:dyDescent="0.25">
      <c r="A216" t="s">
        <v>341</v>
      </c>
      <c r="B216" t="s">
        <v>341</v>
      </c>
      <c r="C216" t="s">
        <v>49</v>
      </c>
    </row>
    <row r="217" spans="1:3" x14ac:dyDescent="0.25">
      <c r="A217" t="s">
        <v>342</v>
      </c>
      <c r="B217" t="s">
        <v>342</v>
      </c>
      <c r="C217" t="s">
        <v>49</v>
      </c>
    </row>
    <row r="218" spans="1:3" x14ac:dyDescent="0.25">
      <c r="A218" t="s">
        <v>343</v>
      </c>
      <c r="B218" t="s">
        <v>343</v>
      </c>
      <c r="C218" t="s">
        <v>49</v>
      </c>
    </row>
    <row r="219" spans="1:3" x14ac:dyDescent="0.25">
      <c r="A219" t="s">
        <v>344</v>
      </c>
      <c r="B219" t="s">
        <v>344</v>
      </c>
      <c r="C219" t="s">
        <v>49</v>
      </c>
    </row>
    <row r="220" spans="1:3" x14ac:dyDescent="0.25">
      <c r="A220" t="s">
        <v>345</v>
      </c>
      <c r="B220" t="s">
        <v>345</v>
      </c>
      <c r="C220" t="s">
        <v>49</v>
      </c>
    </row>
    <row r="221" spans="1:3" x14ac:dyDescent="0.25">
      <c r="A221" t="s">
        <v>346</v>
      </c>
      <c r="B221" t="s">
        <v>346</v>
      </c>
      <c r="C221" t="s">
        <v>49</v>
      </c>
    </row>
    <row r="222" spans="1:3" x14ac:dyDescent="0.25">
      <c r="A222" t="s">
        <v>347</v>
      </c>
      <c r="B222" t="s">
        <v>347</v>
      </c>
      <c r="C222" t="s">
        <v>49</v>
      </c>
    </row>
    <row r="223" spans="1:3" x14ac:dyDescent="0.25">
      <c r="A223" t="s">
        <v>348</v>
      </c>
      <c r="B223" t="s">
        <v>348</v>
      </c>
      <c r="C223" t="s">
        <v>49</v>
      </c>
    </row>
    <row r="224" spans="1:3" x14ac:dyDescent="0.25">
      <c r="A224" t="s">
        <v>349</v>
      </c>
      <c r="B224" t="s">
        <v>349</v>
      </c>
      <c r="C224" t="s">
        <v>49</v>
      </c>
    </row>
    <row r="225" spans="1:3" x14ac:dyDescent="0.25">
      <c r="A225" t="s">
        <v>546</v>
      </c>
      <c r="B225" t="s">
        <v>546</v>
      </c>
      <c r="C225" t="s">
        <v>49</v>
      </c>
    </row>
    <row r="226" spans="1:3" x14ac:dyDescent="0.25">
      <c r="A226" t="s">
        <v>350</v>
      </c>
      <c r="B226" t="s">
        <v>350</v>
      </c>
      <c r="C226" t="s">
        <v>49</v>
      </c>
    </row>
    <row r="227" spans="1:3" x14ac:dyDescent="0.25">
      <c r="A227" t="s">
        <v>351</v>
      </c>
      <c r="B227" t="s">
        <v>351</v>
      </c>
      <c r="C227" t="s">
        <v>49</v>
      </c>
    </row>
    <row r="228" spans="1:3" x14ac:dyDescent="0.25">
      <c r="A228" t="s">
        <v>352</v>
      </c>
      <c r="B228" t="s">
        <v>352</v>
      </c>
      <c r="C228" t="s">
        <v>49</v>
      </c>
    </row>
    <row r="229" spans="1:3" x14ac:dyDescent="0.25">
      <c r="A229" t="s">
        <v>353</v>
      </c>
      <c r="B229" t="s">
        <v>353</v>
      </c>
      <c r="C229" t="s">
        <v>49</v>
      </c>
    </row>
    <row r="230" spans="1:3" x14ac:dyDescent="0.25">
      <c r="A230" t="s">
        <v>354</v>
      </c>
      <c r="B230" t="s">
        <v>354</v>
      </c>
      <c r="C230" t="s">
        <v>49</v>
      </c>
    </row>
    <row r="231" spans="1:3" x14ac:dyDescent="0.25">
      <c r="A231" t="s">
        <v>355</v>
      </c>
      <c r="B231" t="s">
        <v>355</v>
      </c>
      <c r="C231" t="s">
        <v>49</v>
      </c>
    </row>
    <row r="232" spans="1:3" x14ac:dyDescent="0.25">
      <c r="A232" t="s">
        <v>356</v>
      </c>
      <c r="B232" t="s">
        <v>356</v>
      </c>
      <c r="C232" t="s">
        <v>49</v>
      </c>
    </row>
    <row r="233" spans="1:3" x14ac:dyDescent="0.25">
      <c r="A233" t="s">
        <v>648</v>
      </c>
      <c r="B233" t="s">
        <v>357</v>
      </c>
      <c r="C233" t="s">
        <v>129</v>
      </c>
    </row>
    <row r="234" spans="1:3" x14ac:dyDescent="0.25">
      <c r="A234" t="s">
        <v>358</v>
      </c>
      <c r="B234" t="s">
        <v>358</v>
      </c>
      <c r="C234" t="s">
        <v>49</v>
      </c>
    </row>
    <row r="235" spans="1:3" x14ac:dyDescent="0.25">
      <c r="A235" t="s">
        <v>764</v>
      </c>
      <c r="B235" t="s">
        <v>359</v>
      </c>
      <c r="C235" t="s">
        <v>129</v>
      </c>
    </row>
    <row r="236" spans="1:3" x14ac:dyDescent="0.25">
      <c r="A236" t="s">
        <v>360</v>
      </c>
      <c r="B236" t="s">
        <v>360</v>
      </c>
      <c r="C236" t="s">
        <v>49</v>
      </c>
    </row>
    <row r="237" spans="1:3" x14ac:dyDescent="0.25">
      <c r="A237" t="s">
        <v>361</v>
      </c>
      <c r="B237" t="s">
        <v>361</v>
      </c>
      <c r="C237" t="s">
        <v>49</v>
      </c>
    </row>
    <row r="238" spans="1:3" x14ac:dyDescent="0.25">
      <c r="A238" t="s">
        <v>362</v>
      </c>
      <c r="B238" t="s">
        <v>362</v>
      </c>
      <c r="C238" t="s">
        <v>49</v>
      </c>
    </row>
    <row r="239" spans="1:3" x14ac:dyDescent="0.25">
      <c r="A239" t="s">
        <v>363</v>
      </c>
      <c r="B239" t="s">
        <v>363</v>
      </c>
      <c r="C239" t="s">
        <v>49</v>
      </c>
    </row>
    <row r="240" spans="1:3" x14ac:dyDescent="0.25">
      <c r="A240" t="s">
        <v>364</v>
      </c>
      <c r="B240" t="s">
        <v>364</v>
      </c>
      <c r="C240" t="s">
        <v>49</v>
      </c>
    </row>
    <row r="241" spans="1:3" x14ac:dyDescent="0.25">
      <c r="A241" t="s">
        <v>365</v>
      </c>
      <c r="B241" t="s">
        <v>365</v>
      </c>
      <c r="C241" t="s">
        <v>49</v>
      </c>
    </row>
    <row r="242" spans="1:3" x14ac:dyDescent="0.25">
      <c r="A242" t="s">
        <v>366</v>
      </c>
      <c r="B242" t="s">
        <v>366</v>
      </c>
      <c r="C242" t="s">
        <v>49</v>
      </c>
    </row>
    <row r="243" spans="1:3" x14ac:dyDescent="0.25">
      <c r="A243" t="s">
        <v>367</v>
      </c>
      <c r="B243" t="s">
        <v>367</v>
      </c>
      <c r="C243" t="s">
        <v>49</v>
      </c>
    </row>
    <row r="244" spans="1:3" x14ac:dyDescent="0.25">
      <c r="A244" t="s">
        <v>368</v>
      </c>
      <c r="B244" t="s">
        <v>368</v>
      </c>
      <c r="C244" t="s">
        <v>49</v>
      </c>
    </row>
    <row r="245" spans="1:3" x14ac:dyDescent="0.25">
      <c r="A245" t="s">
        <v>883</v>
      </c>
      <c r="B245" t="s">
        <v>369</v>
      </c>
      <c r="C245" t="s">
        <v>129</v>
      </c>
    </row>
    <row r="246" spans="1:3" x14ac:dyDescent="0.25">
      <c r="A246" t="s">
        <v>1016</v>
      </c>
      <c r="B246" t="s">
        <v>369</v>
      </c>
      <c r="C246" t="s">
        <v>129</v>
      </c>
    </row>
    <row r="247" spans="1:3" x14ac:dyDescent="0.25">
      <c r="A247" t="s">
        <v>370</v>
      </c>
      <c r="B247" t="s">
        <v>370</v>
      </c>
      <c r="C247" t="s">
        <v>49</v>
      </c>
    </row>
    <row r="248" spans="1:3" x14ac:dyDescent="0.25">
      <c r="A248" t="s">
        <v>413</v>
      </c>
      <c r="B248" t="s">
        <v>371</v>
      </c>
      <c r="C248" t="s">
        <v>49</v>
      </c>
    </row>
    <row r="249" spans="1:3" x14ac:dyDescent="0.25">
      <c r="A249" t="s">
        <v>372</v>
      </c>
      <c r="B249" t="s">
        <v>372</v>
      </c>
      <c r="C249" t="s">
        <v>49</v>
      </c>
    </row>
    <row r="250" spans="1:3" x14ac:dyDescent="0.25">
      <c r="A250" t="s">
        <v>373</v>
      </c>
      <c r="B250" t="s">
        <v>373</v>
      </c>
      <c r="C250" t="s">
        <v>49</v>
      </c>
    </row>
    <row r="251" spans="1:3" x14ac:dyDescent="0.25">
      <c r="A251" t="s">
        <v>968</v>
      </c>
      <c r="B251" t="s">
        <v>369</v>
      </c>
      <c r="C251" t="s">
        <v>129</v>
      </c>
    </row>
    <row r="252" spans="1:3" x14ac:dyDescent="0.25">
      <c r="A252" t="s">
        <v>374</v>
      </c>
      <c r="B252" t="s">
        <v>374</v>
      </c>
      <c r="C252" t="s">
        <v>49</v>
      </c>
    </row>
    <row r="253" spans="1:3" x14ac:dyDescent="0.25">
      <c r="A253" t="s">
        <v>375</v>
      </c>
      <c r="B253" t="s">
        <v>375</v>
      </c>
      <c r="C253" t="s">
        <v>49</v>
      </c>
    </row>
    <row r="254" spans="1:3" x14ac:dyDescent="0.25">
      <c r="A254" t="s">
        <v>376</v>
      </c>
      <c r="B254" t="s">
        <v>376</v>
      </c>
      <c r="C254" t="s">
        <v>49</v>
      </c>
    </row>
    <row r="255" spans="1:3" x14ac:dyDescent="0.25">
      <c r="A255" t="s">
        <v>377</v>
      </c>
      <c r="B255" t="s">
        <v>377</v>
      </c>
      <c r="C255" t="s">
        <v>49</v>
      </c>
    </row>
    <row r="256" spans="1:3" x14ac:dyDescent="0.25">
      <c r="A256" t="s">
        <v>378</v>
      </c>
      <c r="B256" t="s">
        <v>378</v>
      </c>
      <c r="C256" t="s">
        <v>49</v>
      </c>
    </row>
    <row r="257" spans="1:3" x14ac:dyDescent="0.25">
      <c r="A257" t="s">
        <v>51</v>
      </c>
      <c r="B257" t="s">
        <v>51</v>
      </c>
      <c r="C257" t="s">
        <v>49</v>
      </c>
    </row>
    <row r="258" spans="1:3" x14ac:dyDescent="0.25">
      <c r="A258" t="s">
        <v>379</v>
      </c>
      <c r="B258" t="s">
        <v>379</v>
      </c>
      <c r="C258" t="s">
        <v>49</v>
      </c>
    </row>
    <row r="259" spans="1:3" x14ac:dyDescent="0.25">
      <c r="A259" t="s">
        <v>380</v>
      </c>
      <c r="B259" t="s">
        <v>380</v>
      </c>
      <c r="C259" t="s">
        <v>49</v>
      </c>
    </row>
    <row r="260" spans="1:3" x14ac:dyDescent="0.25">
      <c r="A260" t="s">
        <v>381</v>
      </c>
      <c r="B260" t="s">
        <v>381</v>
      </c>
      <c r="C260" t="s">
        <v>49</v>
      </c>
    </row>
    <row r="737" spans="8:9" x14ac:dyDescent="0.25">
      <c r="I737" s="8"/>
    </row>
    <row r="746" spans="8:9" x14ac:dyDescent="0.25">
      <c r="H746" s="8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ColWidth="8.75" defaultRowHeight="15.75" x14ac:dyDescent="0.25"/>
  <sheetData>
    <row r="1" spans="1:5" x14ac:dyDescent="0.25">
      <c r="A1" t="s">
        <v>52</v>
      </c>
      <c r="B1" t="s">
        <v>53</v>
      </c>
      <c r="C1" t="s">
        <v>54</v>
      </c>
      <c r="D1" t="s">
        <v>55</v>
      </c>
      <c r="E1" t="s">
        <v>56</v>
      </c>
    </row>
    <row r="2" spans="1:5" x14ac:dyDescent="0.25">
      <c r="A2" t="s">
        <v>382</v>
      </c>
      <c r="B2" t="s">
        <v>57</v>
      </c>
    </row>
    <row r="3" spans="1:5" x14ac:dyDescent="0.25">
      <c r="A3" t="s">
        <v>383</v>
      </c>
      <c r="B3" t="s">
        <v>57</v>
      </c>
    </row>
    <row r="4" spans="1:5" x14ac:dyDescent="0.25">
      <c r="A4" t="s">
        <v>384</v>
      </c>
      <c r="B4" t="s">
        <v>57</v>
      </c>
    </row>
    <row r="5" spans="1:5" x14ac:dyDescent="0.25">
      <c r="A5" t="s">
        <v>58</v>
      </c>
      <c r="B5" t="s">
        <v>57</v>
      </c>
    </row>
    <row r="6" spans="1:5" x14ac:dyDescent="0.25">
      <c r="A6" t="s">
        <v>59</v>
      </c>
      <c r="B6" t="s">
        <v>57</v>
      </c>
    </row>
    <row r="7" spans="1:5" x14ac:dyDescent="0.25">
      <c r="A7" t="s">
        <v>60</v>
      </c>
      <c r="B7" t="s">
        <v>57</v>
      </c>
    </row>
    <row r="8" spans="1:5" x14ac:dyDescent="0.25">
      <c r="A8" t="s">
        <v>61</v>
      </c>
      <c r="B8" t="s">
        <v>57</v>
      </c>
    </row>
    <row r="9" spans="1:5" x14ac:dyDescent="0.25">
      <c r="A9" t="s">
        <v>385</v>
      </c>
      <c r="B9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603"/>
  <sheetViews>
    <sheetView tabSelected="1" topLeftCell="E1" workbookViewId="0">
      <selection activeCell="L16" sqref="L16"/>
    </sheetView>
  </sheetViews>
  <sheetFormatPr defaultColWidth="8.75" defaultRowHeight="15" x14ac:dyDescent="0.25"/>
  <cols>
    <col min="1" max="5" width="8.75" style="13"/>
    <col min="6" max="6" width="11.75" style="13" bestFit="1" customWidth="1"/>
    <col min="7" max="7" width="8.75" style="13"/>
    <col min="8" max="8" width="14.5" style="13" customWidth="1"/>
    <col min="9" max="9" width="8.75" style="13"/>
    <col min="10" max="10" width="23.375" style="13" bestFit="1" customWidth="1"/>
    <col min="11" max="11" width="10" style="13" customWidth="1"/>
    <col min="12" max="12" width="10" style="30" customWidth="1"/>
    <col min="13" max="18" width="10" style="13" customWidth="1"/>
    <col min="19" max="16384" width="8.75" style="13"/>
  </cols>
  <sheetData>
    <row r="1" spans="1:19" s="11" customFormat="1" x14ac:dyDescent="0.25">
      <c r="A1" s="21" t="s">
        <v>62</v>
      </c>
      <c r="B1" s="31" t="s">
        <v>69</v>
      </c>
      <c r="C1" s="21" t="s">
        <v>63</v>
      </c>
      <c r="D1" s="21" t="s">
        <v>64</v>
      </c>
      <c r="E1" s="21" t="s">
        <v>64</v>
      </c>
      <c r="F1" s="21" t="s">
        <v>64</v>
      </c>
      <c r="G1" s="21" t="s">
        <v>64</v>
      </c>
      <c r="H1" s="21" t="s">
        <v>65</v>
      </c>
      <c r="I1" s="21" t="s">
        <v>64</v>
      </c>
      <c r="J1" s="21" t="s">
        <v>66</v>
      </c>
      <c r="K1" s="21" t="s">
        <v>67</v>
      </c>
      <c r="L1" s="29" t="s">
        <v>67</v>
      </c>
      <c r="M1" s="21" t="s">
        <v>67</v>
      </c>
      <c r="N1" s="21" t="s">
        <v>67</v>
      </c>
      <c r="O1" s="21" t="s">
        <v>67</v>
      </c>
      <c r="P1" s="21" t="s">
        <v>67</v>
      </c>
      <c r="Q1" s="21" t="s">
        <v>67</v>
      </c>
      <c r="R1" s="21" t="s">
        <v>67</v>
      </c>
      <c r="S1" s="21" t="s">
        <v>67</v>
      </c>
    </row>
    <row r="2" spans="1:19" s="12" customFormat="1" ht="83.45" customHeight="1" x14ac:dyDescent="0.25">
      <c r="A2" s="22" t="s">
        <v>68</v>
      </c>
      <c r="B2" s="22" t="s">
        <v>69</v>
      </c>
      <c r="C2" s="23" t="s">
        <v>70</v>
      </c>
      <c r="D2" s="23" t="s">
        <v>71</v>
      </c>
      <c r="E2" s="23" t="s">
        <v>72</v>
      </c>
      <c r="F2" s="23" t="s">
        <v>73</v>
      </c>
      <c r="G2" s="23" t="s">
        <v>74</v>
      </c>
      <c r="H2" s="23" t="s">
        <v>75</v>
      </c>
      <c r="I2" s="23" t="s">
        <v>76</v>
      </c>
      <c r="J2" s="23" t="s">
        <v>77</v>
      </c>
      <c r="K2" s="34" t="s">
        <v>1025</v>
      </c>
      <c r="L2" s="35" t="s">
        <v>1024</v>
      </c>
      <c r="M2" s="34" t="s">
        <v>1018</v>
      </c>
      <c r="N2" s="34" t="s">
        <v>1023</v>
      </c>
      <c r="O2" s="34" t="s">
        <v>1017</v>
      </c>
      <c r="P2" s="34" t="s">
        <v>1019</v>
      </c>
      <c r="Q2" s="34" t="s">
        <v>1022</v>
      </c>
      <c r="R2" s="34" t="s">
        <v>1021</v>
      </c>
      <c r="S2" s="34" t="s">
        <v>1020</v>
      </c>
    </row>
    <row r="3" spans="1:19" s="12" customFormat="1" x14ac:dyDescent="0.25">
      <c r="A3" s="22" t="s">
        <v>78</v>
      </c>
      <c r="B3" s="21"/>
      <c r="C3" s="22" t="s">
        <v>79</v>
      </c>
      <c r="D3" s="22"/>
      <c r="E3" s="22"/>
      <c r="F3" s="22"/>
      <c r="G3" s="22" t="s">
        <v>80</v>
      </c>
      <c r="H3" s="22"/>
      <c r="I3" s="22"/>
      <c r="J3" s="22"/>
      <c r="K3" s="22"/>
      <c r="L3" s="24"/>
      <c r="M3" s="22"/>
      <c r="N3" s="22"/>
      <c r="O3" s="22"/>
      <c r="P3" s="22"/>
      <c r="Q3" s="22"/>
      <c r="R3" s="22"/>
      <c r="S3" s="22"/>
    </row>
    <row r="4" spans="1:19" s="12" customFormat="1" ht="25.9" customHeight="1" x14ac:dyDescent="0.25">
      <c r="A4" s="22" t="s">
        <v>81</v>
      </c>
      <c r="B4" s="22"/>
      <c r="C4" s="22"/>
      <c r="D4" s="22"/>
      <c r="E4" s="22"/>
      <c r="F4" s="22"/>
      <c r="G4" s="22"/>
      <c r="H4" s="22"/>
      <c r="I4" s="22"/>
      <c r="J4" s="22"/>
      <c r="K4" s="22" t="s">
        <v>82</v>
      </c>
      <c r="L4" s="24" t="s">
        <v>82</v>
      </c>
      <c r="M4" s="22" t="s">
        <v>82</v>
      </c>
      <c r="N4" s="22" t="s">
        <v>82</v>
      </c>
      <c r="O4" s="22" t="s">
        <v>82</v>
      </c>
      <c r="P4" s="22" t="s">
        <v>82</v>
      </c>
      <c r="Q4" s="22" t="s">
        <v>82</v>
      </c>
      <c r="R4" s="22" t="s">
        <v>82</v>
      </c>
      <c r="S4" s="22" t="s">
        <v>82</v>
      </c>
    </row>
    <row r="5" spans="1:19" s="11" customFormat="1" x14ac:dyDescent="0.25">
      <c r="A5" s="21" t="s">
        <v>83</v>
      </c>
      <c r="B5" s="21"/>
      <c r="C5" s="21"/>
      <c r="D5" s="21"/>
      <c r="E5" s="21"/>
      <c r="F5" s="21"/>
      <c r="G5" s="21"/>
      <c r="H5" s="21"/>
      <c r="I5" s="21"/>
      <c r="J5" s="21"/>
      <c r="K5" s="21" t="s">
        <v>1011</v>
      </c>
      <c r="L5" s="29" t="s">
        <v>125</v>
      </c>
      <c r="M5" s="21" t="s">
        <v>1012</v>
      </c>
      <c r="N5" s="21" t="s">
        <v>1012</v>
      </c>
      <c r="O5" s="21" t="s">
        <v>1012</v>
      </c>
      <c r="P5" s="21" t="s">
        <v>1011</v>
      </c>
      <c r="Q5" s="33" t="s">
        <v>1011</v>
      </c>
      <c r="R5" s="34" t="s">
        <v>1011</v>
      </c>
      <c r="S5" s="33" t="s">
        <v>125</v>
      </c>
    </row>
    <row r="6" spans="1:19" s="11" customFormat="1" x14ac:dyDescent="0.25">
      <c r="A6" s="21" t="s">
        <v>84</v>
      </c>
      <c r="B6" s="21"/>
      <c r="C6" s="21"/>
      <c r="D6" s="21"/>
      <c r="E6" s="21"/>
      <c r="F6" s="21"/>
      <c r="G6" s="21"/>
      <c r="H6" s="21"/>
      <c r="I6" s="21"/>
      <c r="J6" s="21"/>
      <c r="K6" s="21" t="s">
        <v>85</v>
      </c>
      <c r="L6" s="29" t="s">
        <v>85</v>
      </c>
      <c r="M6" s="21" t="s">
        <v>85</v>
      </c>
      <c r="N6" s="21" t="s">
        <v>85</v>
      </c>
      <c r="O6" s="21" t="s">
        <v>85</v>
      </c>
      <c r="P6" s="21" t="s">
        <v>85</v>
      </c>
      <c r="Q6" s="21" t="s">
        <v>85</v>
      </c>
      <c r="R6" s="21" t="s">
        <v>85</v>
      </c>
      <c r="S6" s="21" t="s">
        <v>85</v>
      </c>
    </row>
    <row r="7" spans="1:19" ht="60" x14ac:dyDescent="0.25">
      <c r="A7" s="22" t="s">
        <v>86</v>
      </c>
      <c r="B7" s="22" t="s">
        <v>87</v>
      </c>
      <c r="C7" s="24" t="s">
        <v>88</v>
      </c>
      <c r="D7" s="24" t="s">
        <v>89</v>
      </c>
      <c r="E7" s="24" t="s">
        <v>90</v>
      </c>
      <c r="F7" s="24" t="s">
        <v>91</v>
      </c>
      <c r="G7" s="24" t="s">
        <v>92</v>
      </c>
      <c r="H7" s="24" t="s">
        <v>93</v>
      </c>
      <c r="I7" s="24" t="s">
        <v>94</v>
      </c>
      <c r="J7" s="24" t="s">
        <v>82</v>
      </c>
      <c r="K7" s="36" t="s">
        <v>1027</v>
      </c>
      <c r="L7" s="23" t="s">
        <v>386</v>
      </c>
      <c r="M7" s="28" t="s">
        <v>387</v>
      </c>
      <c r="N7" s="28" t="s">
        <v>388</v>
      </c>
      <c r="O7" s="28" t="s">
        <v>389</v>
      </c>
      <c r="P7" s="28" t="s">
        <v>1028</v>
      </c>
      <c r="Q7" s="28" t="s">
        <v>1029</v>
      </c>
      <c r="R7" s="28" t="s">
        <v>390</v>
      </c>
      <c r="S7" s="28" t="s">
        <v>391</v>
      </c>
    </row>
    <row r="8" spans="1:19" x14ac:dyDescent="0.25">
      <c r="A8" s="19">
        <v>1</v>
      </c>
      <c r="B8" s="19" t="s">
        <v>384</v>
      </c>
      <c r="C8" s="19" t="s">
        <v>95</v>
      </c>
      <c r="D8" s="20" t="s">
        <v>1007</v>
      </c>
      <c r="E8" s="25" t="s">
        <v>393</v>
      </c>
      <c r="F8" s="25" t="s">
        <v>416</v>
      </c>
      <c r="G8" s="25" t="s">
        <v>97</v>
      </c>
      <c r="H8" s="26">
        <v>42195</v>
      </c>
      <c r="I8" s="25">
        <v>20</v>
      </c>
      <c r="J8" s="25" t="s">
        <v>238</v>
      </c>
      <c r="K8" s="27">
        <v>5576089.9900000002</v>
      </c>
      <c r="L8" s="25">
        <v>132</v>
      </c>
      <c r="M8" s="27">
        <v>74.622329545454519</v>
      </c>
      <c r="N8" s="27">
        <v>75.411750000000012</v>
      </c>
      <c r="O8" s="27">
        <v>119.33080192970432</v>
      </c>
      <c r="P8" s="27">
        <v>5120.9160000000002</v>
      </c>
      <c r="Q8" s="27">
        <v>4121.683</v>
      </c>
      <c r="R8" s="27">
        <v>675960.92499999981</v>
      </c>
      <c r="S8" s="27">
        <f t="shared" ref="S8:S71" si="0">R8/K8</f>
        <v>0.1212248952603435</v>
      </c>
    </row>
    <row r="9" spans="1:19" x14ac:dyDescent="0.25">
      <c r="A9" s="19">
        <v>2</v>
      </c>
      <c r="B9" s="19" t="s">
        <v>384</v>
      </c>
      <c r="C9" s="19" t="s">
        <v>95</v>
      </c>
      <c r="D9" s="20" t="s">
        <v>1007</v>
      </c>
      <c r="E9" s="25" t="s">
        <v>393</v>
      </c>
      <c r="F9" s="25" t="s">
        <v>437</v>
      </c>
      <c r="G9" s="25" t="s">
        <v>97</v>
      </c>
      <c r="H9" s="26">
        <v>42219</v>
      </c>
      <c r="I9" s="25">
        <v>30</v>
      </c>
      <c r="J9" s="25" t="s">
        <v>235</v>
      </c>
      <c r="K9" s="27">
        <v>3216649.8629999999</v>
      </c>
      <c r="L9" s="25">
        <v>229</v>
      </c>
      <c r="M9" s="27">
        <v>55.274825327510925</v>
      </c>
      <c r="N9" s="27">
        <v>58.152000000000001</v>
      </c>
      <c r="O9" s="27">
        <v>71.842776608883582</v>
      </c>
      <c r="P9" s="27">
        <v>2527.3110000000001</v>
      </c>
      <c r="Q9" s="27">
        <v>2506.71</v>
      </c>
      <c r="R9" s="27">
        <v>578754.2359999998</v>
      </c>
      <c r="S9" s="27">
        <f t="shared" si="0"/>
        <v>0.17992453659852994</v>
      </c>
    </row>
    <row r="10" spans="1:19" x14ac:dyDescent="0.25">
      <c r="A10" s="19">
        <v>3</v>
      </c>
      <c r="B10" s="19" t="s">
        <v>384</v>
      </c>
      <c r="C10" s="19" t="s">
        <v>95</v>
      </c>
      <c r="D10" s="20" t="s">
        <v>1007</v>
      </c>
      <c r="E10" s="25" t="s">
        <v>393</v>
      </c>
      <c r="F10" s="25" t="s">
        <v>457</v>
      </c>
      <c r="G10" s="25" t="s">
        <v>97</v>
      </c>
      <c r="H10" s="26">
        <v>42193</v>
      </c>
      <c r="I10" s="25">
        <v>44</v>
      </c>
      <c r="J10" s="25" t="s">
        <v>166</v>
      </c>
      <c r="K10" s="27">
        <v>2651624.094</v>
      </c>
      <c r="L10" s="25">
        <v>154</v>
      </c>
      <c r="M10" s="27">
        <v>67.1004155844156</v>
      </c>
      <c r="N10" s="27">
        <v>71.68549999999999</v>
      </c>
      <c r="O10" s="27">
        <v>84.520823136132577</v>
      </c>
      <c r="P10" s="27">
        <v>3799.8019610389601</v>
      </c>
      <c r="Q10" s="27">
        <v>3725.1675</v>
      </c>
      <c r="R10" s="27">
        <v>585169.50199999986</v>
      </c>
      <c r="S10" s="27">
        <f t="shared" si="0"/>
        <v>0.22068343070350749</v>
      </c>
    </row>
    <row r="11" spans="1:19" x14ac:dyDescent="0.25">
      <c r="A11" s="19">
        <v>4</v>
      </c>
      <c r="B11" s="19" t="s">
        <v>384</v>
      </c>
      <c r="C11" s="19" t="s">
        <v>95</v>
      </c>
      <c r="D11" s="20" t="s">
        <v>1007</v>
      </c>
      <c r="E11" s="25" t="s">
        <v>393</v>
      </c>
      <c r="F11" s="25" t="s">
        <v>458</v>
      </c>
      <c r="G11" s="25" t="s">
        <v>97</v>
      </c>
      <c r="H11" s="26">
        <v>42198</v>
      </c>
      <c r="I11" s="25">
        <v>54</v>
      </c>
      <c r="J11" s="25" t="s">
        <v>265</v>
      </c>
      <c r="K11" s="27">
        <v>3492032.72</v>
      </c>
      <c r="L11" s="25">
        <v>136</v>
      </c>
      <c r="M11" s="27">
        <v>55.548305147058812</v>
      </c>
      <c r="N11" s="27">
        <v>57.139749999999999</v>
      </c>
      <c r="O11" s="27">
        <v>70.001990591518194</v>
      </c>
      <c r="P11" s="27">
        <v>2517.5450000000001</v>
      </c>
      <c r="Q11" s="27">
        <v>2448.1315</v>
      </c>
      <c r="R11" s="27">
        <v>342386.05500000005</v>
      </c>
      <c r="S11" s="27">
        <f t="shared" si="0"/>
        <v>9.8047779747035144E-2</v>
      </c>
    </row>
    <row r="12" spans="1:19" x14ac:dyDescent="0.25">
      <c r="A12" s="19">
        <v>5</v>
      </c>
      <c r="B12" s="19" t="s">
        <v>384</v>
      </c>
      <c r="C12" s="19" t="s">
        <v>95</v>
      </c>
      <c r="D12" s="20" t="s">
        <v>1007</v>
      </c>
      <c r="E12" s="25" t="s">
        <v>393</v>
      </c>
      <c r="F12" s="25" t="s">
        <v>459</v>
      </c>
      <c r="G12" s="25" t="s">
        <v>96</v>
      </c>
      <c r="H12" s="26">
        <v>42198</v>
      </c>
      <c r="I12" s="25">
        <v>54</v>
      </c>
      <c r="J12" s="25" t="s">
        <v>265</v>
      </c>
      <c r="K12" s="27">
        <v>4217271.5820000004</v>
      </c>
      <c r="L12" s="25">
        <v>120</v>
      </c>
      <c r="M12" s="27">
        <v>52.54998333333333</v>
      </c>
      <c r="N12" s="27">
        <v>53.822000000000003</v>
      </c>
      <c r="O12" s="27">
        <v>65.423542112307473</v>
      </c>
      <c r="P12" s="27">
        <v>2227.915</v>
      </c>
      <c r="Q12" s="27">
        <v>2125.6035000000002</v>
      </c>
      <c r="R12" s="27">
        <v>267349.76400000002</v>
      </c>
      <c r="S12" s="27">
        <f t="shared" si="0"/>
        <v>6.3394011697300273E-2</v>
      </c>
    </row>
    <row r="13" spans="1:19" x14ac:dyDescent="0.25">
      <c r="A13" s="19">
        <v>6</v>
      </c>
      <c r="B13" s="19" t="s">
        <v>384</v>
      </c>
      <c r="C13" s="19" t="s">
        <v>95</v>
      </c>
      <c r="D13" s="20" t="s">
        <v>1007</v>
      </c>
      <c r="E13" s="25" t="s">
        <v>393</v>
      </c>
      <c r="F13" s="25" t="s">
        <v>460</v>
      </c>
      <c r="G13" s="25" t="s">
        <v>96</v>
      </c>
      <c r="H13" s="26">
        <v>42198</v>
      </c>
      <c r="I13" s="25">
        <v>55</v>
      </c>
      <c r="J13" s="25" t="s">
        <v>265</v>
      </c>
      <c r="K13" s="27">
        <v>5317026.7680000002</v>
      </c>
      <c r="L13" s="25">
        <v>182</v>
      </c>
      <c r="M13" s="27">
        <v>59.510799450549442</v>
      </c>
      <c r="N13" s="27">
        <v>60.138750000000002</v>
      </c>
      <c r="O13" s="27">
        <v>80.98238763416407</v>
      </c>
      <c r="P13" s="27">
        <v>3008.826</v>
      </c>
      <c r="Q13" s="27">
        <v>2756.7740000000003</v>
      </c>
      <c r="R13" s="27">
        <v>547606.24199999997</v>
      </c>
      <c r="S13" s="27">
        <f t="shared" si="0"/>
        <v>0.10299106359511184</v>
      </c>
    </row>
    <row r="14" spans="1:19" x14ac:dyDescent="0.25">
      <c r="A14" s="19">
        <v>7</v>
      </c>
      <c r="B14" s="19" t="s">
        <v>384</v>
      </c>
      <c r="C14" s="19" t="s">
        <v>95</v>
      </c>
      <c r="D14" s="20" t="s">
        <v>1007</v>
      </c>
      <c r="E14" s="25" t="s">
        <v>393</v>
      </c>
      <c r="F14" s="25" t="s">
        <v>461</v>
      </c>
      <c r="G14" s="25" t="s">
        <v>96</v>
      </c>
      <c r="H14" s="26">
        <v>42211</v>
      </c>
      <c r="I14" s="25">
        <v>56</v>
      </c>
      <c r="J14" s="25" t="s">
        <v>329</v>
      </c>
      <c r="K14" s="27">
        <v>2534065.6719999998</v>
      </c>
      <c r="L14" s="25">
        <v>184</v>
      </c>
      <c r="M14" s="27">
        <v>46.446836956521771</v>
      </c>
      <c r="N14" s="27">
        <v>47.709499999999998</v>
      </c>
      <c r="O14" s="27">
        <v>58.569440365765729</v>
      </c>
      <c r="P14" s="27">
        <v>1678.0719999999999</v>
      </c>
      <c r="Q14" s="27">
        <v>1664.9165</v>
      </c>
      <c r="R14" s="27">
        <v>308765.19999999995</v>
      </c>
      <c r="S14" s="27">
        <f t="shared" si="0"/>
        <v>0.1218457766946144</v>
      </c>
    </row>
    <row r="15" spans="1:19" x14ac:dyDescent="0.25">
      <c r="A15" s="19">
        <v>8</v>
      </c>
      <c r="B15" s="19" t="s">
        <v>384</v>
      </c>
      <c r="C15" s="19" t="s">
        <v>95</v>
      </c>
      <c r="D15" s="20" t="s">
        <v>1007</v>
      </c>
      <c r="E15" s="25" t="s">
        <v>393</v>
      </c>
      <c r="F15" s="25" t="s">
        <v>462</v>
      </c>
      <c r="G15" s="25" t="s">
        <v>96</v>
      </c>
      <c r="H15" s="26">
        <v>42199</v>
      </c>
      <c r="I15" s="25">
        <v>57</v>
      </c>
      <c r="J15" s="25" t="s">
        <v>154</v>
      </c>
      <c r="K15" s="27">
        <v>5029306.4019999998</v>
      </c>
      <c r="L15" s="25">
        <v>186</v>
      </c>
      <c r="M15" s="27">
        <v>61.333827956989239</v>
      </c>
      <c r="N15" s="27">
        <v>63.630250000000004</v>
      </c>
      <c r="O15" s="27">
        <v>82.095761286322627</v>
      </c>
      <c r="P15" s="27">
        <v>3097.373</v>
      </c>
      <c r="Q15" s="27">
        <v>2959.6954999999998</v>
      </c>
      <c r="R15" s="27">
        <v>576111.46200000017</v>
      </c>
      <c r="S15" s="27">
        <f t="shared" si="0"/>
        <v>0.11455087758640008</v>
      </c>
    </row>
    <row r="16" spans="1:19" x14ac:dyDescent="0.25">
      <c r="A16" s="19">
        <v>9</v>
      </c>
      <c r="B16" s="19" t="s">
        <v>384</v>
      </c>
      <c r="C16" s="19" t="s">
        <v>95</v>
      </c>
      <c r="D16" s="20" t="s">
        <v>1007</v>
      </c>
      <c r="E16" s="25" t="s">
        <v>393</v>
      </c>
      <c r="F16" s="25" t="s">
        <v>463</v>
      </c>
      <c r="G16" s="25" t="s">
        <v>96</v>
      </c>
      <c r="H16" s="26">
        <v>42211</v>
      </c>
      <c r="I16" s="25">
        <v>58</v>
      </c>
      <c r="J16" s="25" t="s">
        <v>217</v>
      </c>
      <c r="K16" s="27">
        <v>3995959.2990000001</v>
      </c>
      <c r="L16" s="25">
        <v>167</v>
      </c>
      <c r="M16" s="27">
        <v>52.255937125748503</v>
      </c>
      <c r="N16" s="27">
        <v>49.598500000000001</v>
      </c>
      <c r="O16" s="27">
        <v>74.422948585468376</v>
      </c>
      <c r="P16" s="27">
        <v>2199.6379999999999</v>
      </c>
      <c r="Q16" s="27">
        <v>1765.269</v>
      </c>
      <c r="R16" s="27">
        <v>367339.49799999991</v>
      </c>
      <c r="S16" s="27">
        <f t="shared" si="0"/>
        <v>9.1927737625337583E-2</v>
      </c>
    </row>
    <row r="17" spans="1:19" x14ac:dyDescent="0.25">
      <c r="A17" s="19">
        <v>10</v>
      </c>
      <c r="B17" s="19" t="s">
        <v>384</v>
      </c>
      <c r="C17" s="19" t="s">
        <v>95</v>
      </c>
      <c r="D17" s="20" t="s">
        <v>1007</v>
      </c>
      <c r="E17" s="25" t="s">
        <v>393</v>
      </c>
      <c r="F17" s="25" t="s">
        <v>464</v>
      </c>
      <c r="G17" s="25" t="s">
        <v>96</v>
      </c>
      <c r="H17" s="26">
        <v>42207</v>
      </c>
      <c r="I17" s="25">
        <v>59</v>
      </c>
      <c r="J17" s="25" t="s">
        <v>163</v>
      </c>
      <c r="K17" s="27">
        <v>3137572.872</v>
      </c>
      <c r="L17" s="25">
        <v>133</v>
      </c>
      <c r="M17" s="27">
        <v>43.073714285714281</v>
      </c>
      <c r="N17" s="27">
        <v>38.901499999999999</v>
      </c>
      <c r="O17" s="27">
        <v>67.23790134193068</v>
      </c>
      <c r="P17" s="27">
        <v>1634.819</v>
      </c>
      <c r="Q17" s="27">
        <v>1121.146</v>
      </c>
      <c r="R17" s="27">
        <v>217430.97700000001</v>
      </c>
      <c r="S17" s="27">
        <f t="shared" si="0"/>
        <v>6.929910025050727E-2</v>
      </c>
    </row>
    <row r="18" spans="1:19" x14ac:dyDescent="0.25">
      <c r="A18" s="19">
        <v>11</v>
      </c>
      <c r="B18" s="19" t="s">
        <v>384</v>
      </c>
      <c r="C18" s="19" t="s">
        <v>95</v>
      </c>
      <c r="D18" s="20" t="s">
        <v>1007</v>
      </c>
      <c r="E18" s="25" t="s">
        <v>393</v>
      </c>
      <c r="F18" s="25" t="s">
        <v>465</v>
      </c>
      <c r="G18" s="25" t="s">
        <v>97</v>
      </c>
      <c r="H18" s="26">
        <v>42211</v>
      </c>
      <c r="I18" s="25">
        <v>60</v>
      </c>
      <c r="J18" s="25" t="s">
        <v>338</v>
      </c>
      <c r="K18" s="27">
        <v>2693291.9</v>
      </c>
      <c r="L18" s="25">
        <v>154</v>
      </c>
      <c r="M18" s="27">
        <v>58.451857142857165</v>
      </c>
      <c r="N18" s="27">
        <v>60.435249999999996</v>
      </c>
      <c r="O18" s="27">
        <v>80.445640124877769</v>
      </c>
      <c r="P18" s="27">
        <v>2967.3993506493507</v>
      </c>
      <c r="Q18" s="27">
        <v>2777.1104999999998</v>
      </c>
      <c r="R18" s="27">
        <v>456979.5</v>
      </c>
      <c r="S18" s="27">
        <f t="shared" si="0"/>
        <v>0.16967321663129051</v>
      </c>
    </row>
    <row r="19" spans="1:19" x14ac:dyDescent="0.25">
      <c r="A19" s="19">
        <v>12</v>
      </c>
      <c r="B19" s="19" t="s">
        <v>384</v>
      </c>
      <c r="C19" s="19" t="s">
        <v>95</v>
      </c>
      <c r="D19" s="20" t="s">
        <v>1007</v>
      </c>
      <c r="E19" s="25" t="s">
        <v>393</v>
      </c>
      <c r="F19" s="25" t="s">
        <v>466</v>
      </c>
      <c r="G19" s="25" t="s">
        <v>96</v>
      </c>
      <c r="H19" s="26">
        <v>42199</v>
      </c>
      <c r="I19" s="25">
        <v>63</v>
      </c>
      <c r="J19" s="25" t="s">
        <v>155</v>
      </c>
      <c r="K19" s="27">
        <v>5989585.5209999997</v>
      </c>
      <c r="L19" s="25">
        <v>447</v>
      </c>
      <c r="M19" s="27">
        <v>41.187696868008949</v>
      </c>
      <c r="N19" s="27">
        <v>42.234999999999999</v>
      </c>
      <c r="O19" s="27">
        <v>51.837094762263327</v>
      </c>
      <c r="P19" s="27">
        <v>1340.6869999999999</v>
      </c>
      <c r="Q19" s="27">
        <v>1298.28</v>
      </c>
      <c r="R19" s="27">
        <v>599287.03099999984</v>
      </c>
      <c r="S19" s="27">
        <f t="shared" si="0"/>
        <v>0.10005484167457801</v>
      </c>
    </row>
    <row r="20" spans="1:19" x14ac:dyDescent="0.25">
      <c r="A20" s="19">
        <v>13</v>
      </c>
      <c r="B20" s="19" t="s">
        <v>384</v>
      </c>
      <c r="C20" s="19" t="s">
        <v>95</v>
      </c>
      <c r="D20" s="20" t="s">
        <v>1007</v>
      </c>
      <c r="E20" s="25" t="s">
        <v>393</v>
      </c>
      <c r="F20" s="25" t="s">
        <v>467</v>
      </c>
      <c r="G20" s="25" t="s">
        <v>96</v>
      </c>
      <c r="H20" s="26">
        <v>42198</v>
      </c>
      <c r="I20" s="25">
        <v>64</v>
      </c>
      <c r="J20" s="25" t="s">
        <v>360</v>
      </c>
      <c r="K20" s="27">
        <v>3441861.1869999999</v>
      </c>
      <c r="L20" s="25">
        <v>199</v>
      </c>
      <c r="M20" s="27">
        <v>40.915899497487459</v>
      </c>
      <c r="N20" s="27">
        <v>42.143999999999998</v>
      </c>
      <c r="O20" s="27">
        <v>54.611902583214487</v>
      </c>
      <c r="P20" s="27">
        <v>1339.3530000000001</v>
      </c>
      <c r="Q20" s="27">
        <v>1291.979</v>
      </c>
      <c r="R20" s="27">
        <v>266531.30399999995</v>
      </c>
      <c r="S20" s="27">
        <f t="shared" si="0"/>
        <v>7.7438132893533212E-2</v>
      </c>
    </row>
    <row r="21" spans="1:19" x14ac:dyDescent="0.25">
      <c r="A21" s="19">
        <v>14</v>
      </c>
      <c r="B21" s="19" t="s">
        <v>384</v>
      </c>
      <c r="C21" s="19" t="s">
        <v>95</v>
      </c>
      <c r="D21" s="20" t="s">
        <v>1007</v>
      </c>
      <c r="E21" s="25" t="s">
        <v>393</v>
      </c>
      <c r="F21" s="25" t="s">
        <v>468</v>
      </c>
      <c r="G21" s="25" t="s">
        <v>97</v>
      </c>
      <c r="H21" s="26">
        <v>42209</v>
      </c>
      <c r="I21" s="25">
        <v>80</v>
      </c>
      <c r="J21" s="25" t="s">
        <v>343</v>
      </c>
      <c r="K21" s="27">
        <v>2995629.5869999998</v>
      </c>
      <c r="L21" s="25">
        <v>161</v>
      </c>
      <c r="M21" s="27">
        <v>52.173282608695636</v>
      </c>
      <c r="N21" s="27">
        <v>49.070999999999998</v>
      </c>
      <c r="O21" s="27">
        <v>95.081619670675892</v>
      </c>
      <c r="P21" s="27">
        <v>2837.2207763975157</v>
      </c>
      <c r="Q21" s="27">
        <v>1782.7460000000001</v>
      </c>
      <c r="R21" s="27">
        <v>456792.54500000004</v>
      </c>
      <c r="S21" s="27">
        <f t="shared" si="0"/>
        <v>0.15248632440483373</v>
      </c>
    </row>
    <row r="22" spans="1:19" x14ac:dyDescent="0.25">
      <c r="A22" s="19">
        <v>15</v>
      </c>
      <c r="B22" s="19" t="s">
        <v>384</v>
      </c>
      <c r="C22" s="19" t="s">
        <v>95</v>
      </c>
      <c r="D22" s="20" t="s">
        <v>1007</v>
      </c>
      <c r="E22" s="25" t="s">
        <v>393</v>
      </c>
      <c r="F22" s="25" t="s">
        <v>469</v>
      </c>
      <c r="G22" s="25" t="s">
        <v>97</v>
      </c>
      <c r="H22" s="26">
        <v>42199</v>
      </c>
      <c r="I22" s="25">
        <v>96</v>
      </c>
      <c r="J22" s="25" t="s">
        <v>273</v>
      </c>
      <c r="K22" s="27">
        <v>4412558.7529999996</v>
      </c>
      <c r="L22" s="25">
        <v>230</v>
      </c>
      <c r="M22" s="27">
        <v>62.240984782608699</v>
      </c>
      <c r="N22" s="27">
        <v>66.178500000000014</v>
      </c>
      <c r="O22" s="27">
        <v>76.991106375160911</v>
      </c>
      <c r="P22" s="27">
        <v>3107.2240000000002</v>
      </c>
      <c r="Q22" s="27">
        <v>3229.2469999999998</v>
      </c>
      <c r="R22" s="27">
        <v>714661.49399999972</v>
      </c>
      <c r="S22" s="27">
        <f t="shared" si="0"/>
        <v>0.16196078828732136</v>
      </c>
    </row>
    <row r="23" spans="1:19" x14ac:dyDescent="0.25">
      <c r="A23" s="19">
        <v>16</v>
      </c>
      <c r="B23" s="19" t="s">
        <v>384</v>
      </c>
      <c r="C23" s="19" t="s">
        <v>95</v>
      </c>
      <c r="D23" s="20" t="s">
        <v>1007</v>
      </c>
      <c r="E23" s="25" t="s">
        <v>393</v>
      </c>
      <c r="F23" s="25" t="s">
        <v>470</v>
      </c>
      <c r="G23" s="25" t="s">
        <v>97</v>
      </c>
      <c r="H23" s="26">
        <v>42211</v>
      </c>
      <c r="I23" s="25">
        <v>97</v>
      </c>
      <c r="J23" s="25" t="s">
        <v>352</v>
      </c>
      <c r="K23" s="27">
        <v>4749433.1260000002</v>
      </c>
      <c r="L23" s="25">
        <v>96</v>
      </c>
      <c r="M23" s="27">
        <v>89.634385416666646</v>
      </c>
      <c r="N23" s="27">
        <v>97.323250000000002</v>
      </c>
      <c r="O23" s="27">
        <v>132.31083423737437</v>
      </c>
      <c r="P23" s="27">
        <v>7410.7520000000004</v>
      </c>
      <c r="Q23" s="27">
        <v>7197.6005000000005</v>
      </c>
      <c r="R23" s="27">
        <v>711432.23800000013</v>
      </c>
      <c r="S23" s="27">
        <f t="shared" si="0"/>
        <v>0.14979308459053353</v>
      </c>
    </row>
    <row r="24" spans="1:19" x14ac:dyDescent="0.25">
      <c r="A24" s="19">
        <v>17</v>
      </c>
      <c r="B24" s="19" t="s">
        <v>384</v>
      </c>
      <c r="C24" s="19" t="s">
        <v>95</v>
      </c>
      <c r="D24" s="20" t="s">
        <v>1007</v>
      </c>
      <c r="E24" s="25" t="s">
        <v>393</v>
      </c>
      <c r="F24" s="25" t="s">
        <v>471</v>
      </c>
      <c r="G24" s="25" t="s">
        <v>96</v>
      </c>
      <c r="H24" s="26">
        <v>42199</v>
      </c>
      <c r="I24" s="25">
        <v>98</v>
      </c>
      <c r="J24" s="25" t="s">
        <v>142</v>
      </c>
      <c r="K24" s="27">
        <v>3823636.2579999999</v>
      </c>
      <c r="L24" s="25">
        <v>340</v>
      </c>
      <c r="M24" s="27">
        <v>48.21677205882353</v>
      </c>
      <c r="N24" s="27">
        <v>50.133499999999998</v>
      </c>
      <c r="O24" s="27">
        <v>60.483353083409135</v>
      </c>
      <c r="P24" s="27">
        <v>1835.2249999999999</v>
      </c>
      <c r="Q24" s="27">
        <v>1809.8440000000001</v>
      </c>
      <c r="R24" s="27">
        <v>623976.51999999979</v>
      </c>
      <c r="S24" s="27">
        <f t="shared" si="0"/>
        <v>0.16318929884988023</v>
      </c>
    </row>
    <row r="25" spans="1:19" x14ac:dyDescent="0.25">
      <c r="A25" s="19">
        <v>18</v>
      </c>
      <c r="B25" s="19" t="s">
        <v>384</v>
      </c>
      <c r="C25" s="19" t="s">
        <v>95</v>
      </c>
      <c r="D25" s="20" t="s">
        <v>1007</v>
      </c>
      <c r="E25" s="25" t="s">
        <v>393</v>
      </c>
      <c r="F25" s="25" t="s">
        <v>472</v>
      </c>
      <c r="G25" s="25" t="s">
        <v>96</v>
      </c>
      <c r="H25" s="26">
        <v>42199</v>
      </c>
      <c r="I25" s="25">
        <v>99</v>
      </c>
      <c r="J25" s="25" t="s">
        <v>270</v>
      </c>
      <c r="K25" s="27">
        <v>3226092.7910000002</v>
      </c>
      <c r="L25" s="25">
        <v>225</v>
      </c>
      <c r="M25" s="27">
        <v>41.572357777777746</v>
      </c>
      <c r="N25" s="27">
        <v>40.6295</v>
      </c>
      <c r="O25" s="27">
        <v>60.723125064344444</v>
      </c>
      <c r="P25" s="27">
        <v>1439.1679999999999</v>
      </c>
      <c r="Q25" s="27">
        <v>1185.7919999999999</v>
      </c>
      <c r="R25" s="27">
        <v>323812.68800000008</v>
      </c>
      <c r="S25" s="27">
        <f t="shared" si="0"/>
        <v>0.10037302364747762</v>
      </c>
    </row>
    <row r="26" spans="1:19" x14ac:dyDescent="0.25">
      <c r="A26" s="19">
        <v>19</v>
      </c>
      <c r="B26" s="19" t="s">
        <v>384</v>
      </c>
      <c r="C26" s="19" t="s">
        <v>95</v>
      </c>
      <c r="D26" s="20" t="s">
        <v>1007</v>
      </c>
      <c r="E26" s="25" t="s">
        <v>393</v>
      </c>
      <c r="F26" s="25" t="s">
        <v>392</v>
      </c>
      <c r="G26" s="25" t="s">
        <v>96</v>
      </c>
      <c r="H26" s="26">
        <v>42199</v>
      </c>
      <c r="I26" s="25">
        <v>100</v>
      </c>
      <c r="J26" s="25" t="s">
        <v>255</v>
      </c>
      <c r="K26" s="27">
        <v>4682524.2130000005</v>
      </c>
      <c r="L26" s="25">
        <v>240</v>
      </c>
      <c r="M26" s="27">
        <v>54.911206250000042</v>
      </c>
      <c r="N26" s="27">
        <v>56.511499999999998</v>
      </c>
      <c r="O26" s="27">
        <v>70.663979710216807</v>
      </c>
      <c r="P26" s="27">
        <v>2445.105</v>
      </c>
      <c r="Q26" s="27">
        <v>2390.4875000000002</v>
      </c>
      <c r="R26" s="27">
        <v>586825.12800000026</v>
      </c>
      <c r="S26" s="27">
        <f t="shared" si="0"/>
        <v>0.12532239051125654</v>
      </c>
    </row>
    <row r="27" spans="1:19" x14ac:dyDescent="0.25">
      <c r="A27" s="19">
        <v>20</v>
      </c>
      <c r="B27" s="19" t="s">
        <v>384</v>
      </c>
      <c r="C27" s="19" t="s">
        <v>95</v>
      </c>
      <c r="D27" s="20" t="s">
        <v>1007</v>
      </c>
      <c r="E27" s="25" t="s">
        <v>393</v>
      </c>
      <c r="F27" s="25" t="s">
        <v>394</v>
      </c>
      <c r="G27" s="25" t="s">
        <v>97</v>
      </c>
      <c r="H27" s="26">
        <v>42217</v>
      </c>
      <c r="I27" s="25">
        <v>101</v>
      </c>
      <c r="J27" s="25" t="s">
        <v>327</v>
      </c>
      <c r="K27" s="27">
        <v>2683802.4939999999</v>
      </c>
      <c r="L27" s="25">
        <v>77</v>
      </c>
      <c r="M27" s="27">
        <v>74.122863636363647</v>
      </c>
      <c r="N27" s="27">
        <v>82.173000000000002</v>
      </c>
      <c r="O27" s="27">
        <v>101.37608482071238</v>
      </c>
      <c r="P27" s="27">
        <v>4926.4624545454553</v>
      </c>
      <c r="Q27" s="27">
        <v>5099.6000000000004</v>
      </c>
      <c r="R27" s="27">
        <v>379337.60900000005</v>
      </c>
      <c r="S27" s="27">
        <f t="shared" si="0"/>
        <v>0.14134334022271017</v>
      </c>
    </row>
    <row r="28" spans="1:19" x14ac:dyDescent="0.25">
      <c r="A28" s="19">
        <v>21</v>
      </c>
      <c r="B28" s="19" t="s">
        <v>384</v>
      </c>
      <c r="C28" s="19" t="s">
        <v>95</v>
      </c>
      <c r="D28" s="20" t="s">
        <v>1007</v>
      </c>
      <c r="E28" s="25" t="s">
        <v>393</v>
      </c>
      <c r="F28" s="25" t="s">
        <v>395</v>
      </c>
      <c r="G28" s="25" t="s">
        <v>97</v>
      </c>
      <c r="H28" s="26">
        <v>42211</v>
      </c>
      <c r="I28" s="25">
        <v>102</v>
      </c>
      <c r="J28" s="25" t="s">
        <v>341</v>
      </c>
      <c r="K28" s="27">
        <v>2651624.094</v>
      </c>
      <c r="L28" s="25">
        <v>154</v>
      </c>
      <c r="M28" s="27">
        <v>67.1004155844156</v>
      </c>
      <c r="N28" s="27">
        <v>70.202749999999995</v>
      </c>
      <c r="O28" s="27">
        <v>84.520823136132577</v>
      </c>
      <c r="P28" s="27">
        <v>3799.8019610389601</v>
      </c>
      <c r="Q28" s="27">
        <v>3725.1675</v>
      </c>
      <c r="R28" s="27">
        <v>585169.50199999986</v>
      </c>
      <c r="S28" s="27">
        <f t="shared" si="0"/>
        <v>0.22068343070350749</v>
      </c>
    </row>
    <row r="29" spans="1:19" x14ac:dyDescent="0.25">
      <c r="A29" s="19">
        <v>22</v>
      </c>
      <c r="B29" s="19" t="s">
        <v>384</v>
      </c>
      <c r="C29" s="19" t="s">
        <v>95</v>
      </c>
      <c r="D29" s="20" t="s">
        <v>1007</v>
      </c>
      <c r="E29" s="25" t="s">
        <v>393</v>
      </c>
      <c r="F29" s="25" t="s">
        <v>396</v>
      </c>
      <c r="G29" s="25" t="s">
        <v>96</v>
      </c>
      <c r="H29" s="26">
        <v>42211</v>
      </c>
      <c r="I29" s="25">
        <v>104</v>
      </c>
      <c r="J29" s="25" t="s">
        <v>397</v>
      </c>
      <c r="K29" s="27">
        <v>3920776.4479999999</v>
      </c>
      <c r="L29" s="25">
        <v>110</v>
      </c>
      <c r="M29" s="27">
        <v>65.925013636363616</v>
      </c>
      <c r="N29" s="27">
        <v>65.534999999999997</v>
      </c>
      <c r="O29" s="27">
        <v>109.15238989924315</v>
      </c>
      <c r="P29" s="27">
        <v>3946.2089999999998</v>
      </c>
      <c r="Q29" s="27">
        <v>3168.4520000000002</v>
      </c>
      <c r="R29" s="27">
        <v>434082.93900000013</v>
      </c>
      <c r="S29" s="27">
        <f t="shared" si="0"/>
        <v>0.11071351421258083</v>
      </c>
    </row>
    <row r="30" spans="1:19" x14ac:dyDescent="0.25">
      <c r="A30" s="19">
        <v>23</v>
      </c>
      <c r="B30" s="19" t="s">
        <v>384</v>
      </c>
      <c r="C30" s="19" t="s">
        <v>95</v>
      </c>
      <c r="D30" s="20" t="s">
        <v>1007</v>
      </c>
      <c r="E30" s="25" t="s">
        <v>393</v>
      </c>
      <c r="F30" s="25" t="s">
        <v>398</v>
      </c>
      <c r="G30" s="25" t="s">
        <v>96</v>
      </c>
      <c r="H30" s="26">
        <v>42211</v>
      </c>
      <c r="I30" s="25">
        <v>105</v>
      </c>
      <c r="J30" s="25" t="s">
        <v>399</v>
      </c>
      <c r="K30" s="27">
        <v>3744003.361</v>
      </c>
      <c r="L30" s="25">
        <v>189</v>
      </c>
      <c r="M30" s="27">
        <v>54.038298941798899</v>
      </c>
      <c r="N30" s="27">
        <v>56.695500000000003</v>
      </c>
      <c r="O30" s="27">
        <v>70.231643294892137</v>
      </c>
      <c r="P30" s="27">
        <v>2455.5419999999999</v>
      </c>
      <c r="Q30" s="27">
        <v>2420.36</v>
      </c>
      <c r="R30" s="27">
        <v>464097.41399999993</v>
      </c>
      <c r="S30" s="27">
        <f t="shared" si="0"/>
        <v>0.1239575313511584</v>
      </c>
    </row>
    <row r="31" spans="1:19" x14ac:dyDescent="0.25">
      <c r="A31" s="19">
        <v>24</v>
      </c>
      <c r="B31" s="19" t="s">
        <v>384</v>
      </c>
      <c r="C31" s="19" t="s">
        <v>95</v>
      </c>
      <c r="D31" s="20" t="s">
        <v>1007</v>
      </c>
      <c r="E31" s="25" t="s">
        <v>393</v>
      </c>
      <c r="F31" s="25" t="s">
        <v>400</v>
      </c>
      <c r="G31" s="25" t="s">
        <v>96</v>
      </c>
      <c r="H31" s="26">
        <v>42199</v>
      </c>
      <c r="I31" s="25">
        <v>107</v>
      </c>
      <c r="J31" s="25" t="s">
        <v>401</v>
      </c>
      <c r="K31" s="27">
        <v>3821420.1030000001</v>
      </c>
      <c r="L31" s="25">
        <v>356</v>
      </c>
      <c r="M31" s="27">
        <v>42.166779494382027</v>
      </c>
      <c r="N31" s="27">
        <v>45.287500000000001</v>
      </c>
      <c r="O31" s="27">
        <v>54.391504060469458</v>
      </c>
      <c r="P31" s="27">
        <v>1439.721</v>
      </c>
      <c r="Q31" s="27">
        <v>1501.7849999999999</v>
      </c>
      <c r="R31" s="27">
        <v>512540.78800000029</v>
      </c>
      <c r="S31" s="27">
        <f t="shared" si="0"/>
        <v>0.13412312024988587</v>
      </c>
    </row>
    <row r="32" spans="1:19" x14ac:dyDescent="0.25">
      <c r="A32" s="19">
        <v>25</v>
      </c>
      <c r="B32" s="19" t="s">
        <v>384</v>
      </c>
      <c r="C32" s="19" t="s">
        <v>95</v>
      </c>
      <c r="D32" s="20" t="s">
        <v>1007</v>
      </c>
      <c r="E32" s="25" t="s">
        <v>393</v>
      </c>
      <c r="F32" s="25" t="s">
        <v>402</v>
      </c>
      <c r="G32" s="25" t="s">
        <v>96</v>
      </c>
      <c r="H32" s="26">
        <v>42207</v>
      </c>
      <c r="I32" s="25">
        <v>109</v>
      </c>
      <c r="J32" s="25" t="s">
        <v>217</v>
      </c>
      <c r="K32" s="27">
        <v>2789574.7859999998</v>
      </c>
      <c r="L32" s="25">
        <v>274</v>
      </c>
      <c r="M32" s="27">
        <v>43.72371897810217</v>
      </c>
      <c r="N32" s="27">
        <v>43.428750000000001</v>
      </c>
      <c r="O32" s="27">
        <v>62.180334168180885</v>
      </c>
      <c r="P32" s="27">
        <v>1559.9349999999999</v>
      </c>
      <c r="Q32" s="27">
        <v>1333.9865</v>
      </c>
      <c r="R32" s="27">
        <v>427422.10600000003</v>
      </c>
      <c r="S32" s="27">
        <f t="shared" si="0"/>
        <v>0.15322123936059984</v>
      </c>
    </row>
    <row r="33" spans="1:19" x14ac:dyDescent="0.25">
      <c r="A33" s="19">
        <v>26</v>
      </c>
      <c r="B33" s="19" t="s">
        <v>384</v>
      </c>
      <c r="C33" s="19" t="s">
        <v>95</v>
      </c>
      <c r="D33" s="20" t="s">
        <v>1007</v>
      </c>
      <c r="E33" s="25" t="s">
        <v>393</v>
      </c>
      <c r="F33" s="25" t="s">
        <v>403</v>
      </c>
      <c r="G33" s="25" t="s">
        <v>97</v>
      </c>
      <c r="H33" s="26">
        <v>42209</v>
      </c>
      <c r="I33" s="25">
        <v>128</v>
      </c>
      <c r="J33" s="25" t="s">
        <v>344</v>
      </c>
      <c r="K33" s="27">
        <v>3603020.3739999998</v>
      </c>
      <c r="L33" s="25">
        <v>187</v>
      </c>
      <c r="M33" s="27">
        <v>60.989788770053437</v>
      </c>
      <c r="N33" s="27">
        <v>51.5745</v>
      </c>
      <c r="O33" s="27">
        <v>110.43327045183575</v>
      </c>
      <c r="P33" s="27">
        <v>3864.43</v>
      </c>
      <c r="Q33" s="27">
        <v>1902.7280000000001</v>
      </c>
      <c r="R33" s="27">
        <v>722648.36900000041</v>
      </c>
      <c r="S33" s="27">
        <f t="shared" si="0"/>
        <v>0.20056738346936709</v>
      </c>
    </row>
    <row r="34" spans="1:19" x14ac:dyDescent="0.25">
      <c r="A34" s="19">
        <v>27</v>
      </c>
      <c r="B34" s="19" t="s">
        <v>384</v>
      </c>
      <c r="C34" s="19" t="s">
        <v>95</v>
      </c>
      <c r="D34" s="20" t="s">
        <v>1007</v>
      </c>
      <c r="E34" s="25" t="s">
        <v>393</v>
      </c>
      <c r="F34" s="25" t="s">
        <v>404</v>
      </c>
      <c r="G34" s="25" t="s">
        <v>97</v>
      </c>
      <c r="H34" s="26">
        <v>42195</v>
      </c>
      <c r="I34" s="25">
        <v>135</v>
      </c>
      <c r="J34" s="25" t="s">
        <v>337</v>
      </c>
      <c r="K34" s="27">
        <v>3349549.1329999999</v>
      </c>
      <c r="L34" s="25">
        <v>120</v>
      </c>
      <c r="M34" s="27">
        <v>73.812941666666674</v>
      </c>
      <c r="N34" s="27">
        <v>77.849249999999998</v>
      </c>
      <c r="O34" s="27">
        <v>108.7550095840207</v>
      </c>
      <c r="P34" s="27">
        <v>4872.8257083333301</v>
      </c>
      <c r="Q34" s="27">
        <v>4139.1495000000004</v>
      </c>
      <c r="R34" s="27">
        <v>584739.08499999961</v>
      </c>
      <c r="S34" s="27">
        <f t="shared" si="0"/>
        <v>0.174572475811478</v>
      </c>
    </row>
    <row r="35" spans="1:19" x14ac:dyDescent="0.25">
      <c r="A35" s="19">
        <v>28</v>
      </c>
      <c r="B35" s="19" t="s">
        <v>384</v>
      </c>
      <c r="C35" s="19" t="s">
        <v>95</v>
      </c>
      <c r="D35" s="20" t="s">
        <v>1007</v>
      </c>
      <c r="E35" s="25" t="s">
        <v>393</v>
      </c>
      <c r="F35" s="25" t="s">
        <v>405</v>
      </c>
      <c r="G35" s="25" t="s">
        <v>97</v>
      </c>
      <c r="H35" s="26">
        <v>42209</v>
      </c>
      <c r="I35" s="25">
        <v>137</v>
      </c>
      <c r="J35" s="25" t="s">
        <v>341</v>
      </c>
      <c r="K35" s="27">
        <v>3316923.4440000001</v>
      </c>
      <c r="L35" s="25">
        <v>133</v>
      </c>
      <c r="M35" s="27">
        <v>65.828195488721789</v>
      </c>
      <c r="N35" s="27">
        <v>73.220500000000001</v>
      </c>
      <c r="O35" s="27">
        <v>89.849399205521621</v>
      </c>
      <c r="P35" s="27">
        <v>3859.38</v>
      </c>
      <c r="Q35" s="27">
        <v>4090.6669999999999</v>
      </c>
      <c r="R35" s="27">
        <v>513297.55800000002</v>
      </c>
      <c r="S35" s="27">
        <f t="shared" si="0"/>
        <v>0.15475110193709976</v>
      </c>
    </row>
    <row r="36" spans="1:19" x14ac:dyDescent="0.25">
      <c r="A36" s="19">
        <v>29</v>
      </c>
      <c r="B36" s="19" t="s">
        <v>384</v>
      </c>
      <c r="C36" s="19" t="s">
        <v>95</v>
      </c>
      <c r="D36" s="20" t="s">
        <v>1007</v>
      </c>
      <c r="E36" s="25" t="s">
        <v>393</v>
      </c>
      <c r="F36" s="25" t="s">
        <v>406</v>
      </c>
      <c r="G36" s="25" t="s">
        <v>97</v>
      </c>
      <c r="H36" s="26">
        <v>42209</v>
      </c>
      <c r="I36" s="25">
        <v>138</v>
      </c>
      <c r="J36" s="25" t="s">
        <v>217</v>
      </c>
      <c r="K36" s="27">
        <v>4074652.6170000001</v>
      </c>
      <c r="L36" s="25">
        <v>231</v>
      </c>
      <c r="M36" s="27">
        <v>61.047909090909101</v>
      </c>
      <c r="N36" s="27">
        <v>61.186</v>
      </c>
      <c r="O36" s="27">
        <v>84.828343904745864</v>
      </c>
      <c r="P36" s="27">
        <v>3103.1239999999998</v>
      </c>
      <c r="Q36" s="27">
        <v>2711.3820000000001</v>
      </c>
      <c r="R36" s="27">
        <v>716821.62400000019</v>
      </c>
      <c r="S36" s="27">
        <f t="shared" si="0"/>
        <v>0.17592214389254282</v>
      </c>
    </row>
    <row r="37" spans="1:19" x14ac:dyDescent="0.25">
      <c r="A37" s="19">
        <v>30</v>
      </c>
      <c r="B37" s="19" t="s">
        <v>384</v>
      </c>
      <c r="C37" s="19" t="s">
        <v>95</v>
      </c>
      <c r="D37" s="20" t="s">
        <v>1007</v>
      </c>
      <c r="E37" s="25" t="s">
        <v>393</v>
      </c>
      <c r="F37" s="25" t="s">
        <v>407</v>
      </c>
      <c r="G37" s="25" t="s">
        <v>96</v>
      </c>
      <c r="H37" s="26">
        <v>42209</v>
      </c>
      <c r="I37" s="25">
        <v>138</v>
      </c>
      <c r="J37" s="25" t="s">
        <v>217</v>
      </c>
      <c r="K37" s="27">
        <v>5575235.1279999996</v>
      </c>
      <c r="L37" s="25">
        <v>151</v>
      </c>
      <c r="M37" s="27">
        <v>64.953182119205309</v>
      </c>
      <c r="N37" s="27">
        <v>67.025499999999994</v>
      </c>
      <c r="O37" s="27">
        <v>86.1678035381276</v>
      </c>
      <c r="P37" s="27">
        <v>3506.5540000000001</v>
      </c>
      <c r="Q37" s="27">
        <v>3349.9029999999998</v>
      </c>
      <c r="R37" s="27">
        <v>529489.60700000008</v>
      </c>
      <c r="S37" s="27">
        <f t="shared" si="0"/>
        <v>9.4971708787812775E-2</v>
      </c>
    </row>
    <row r="38" spans="1:19" x14ac:dyDescent="0.25">
      <c r="A38" s="19">
        <v>31</v>
      </c>
      <c r="B38" s="19" t="s">
        <v>384</v>
      </c>
      <c r="C38" s="19" t="s">
        <v>95</v>
      </c>
      <c r="D38" s="20" t="s">
        <v>1007</v>
      </c>
      <c r="E38" s="25" t="s">
        <v>393</v>
      </c>
      <c r="F38" s="25" t="s">
        <v>408</v>
      </c>
      <c r="G38" s="25" t="s">
        <v>97</v>
      </c>
      <c r="H38" s="26">
        <v>42192</v>
      </c>
      <c r="I38" s="25">
        <v>152</v>
      </c>
      <c r="J38" s="25" t="s">
        <v>409</v>
      </c>
      <c r="K38" s="27">
        <v>2707504.4890000001</v>
      </c>
      <c r="L38" s="25">
        <v>132</v>
      </c>
      <c r="M38" s="27">
        <v>56.300731060606068</v>
      </c>
      <c r="N38" s="27">
        <v>57.779000000000003</v>
      </c>
      <c r="O38" s="27">
        <v>85.456662487753078</v>
      </c>
      <c r="P38" s="27">
        <v>2941.8409924242414</v>
      </c>
      <c r="Q38" s="27">
        <v>2441.2365</v>
      </c>
      <c r="R38" s="27">
        <v>388323.01099999988</v>
      </c>
      <c r="S38" s="27">
        <f t="shared" si="0"/>
        <v>0.14342469701441735</v>
      </c>
    </row>
    <row r="39" spans="1:19" x14ac:dyDescent="0.25">
      <c r="A39" s="19">
        <v>32</v>
      </c>
      <c r="B39" s="19" t="s">
        <v>384</v>
      </c>
      <c r="C39" s="19" t="s">
        <v>95</v>
      </c>
      <c r="D39" s="20" t="s">
        <v>1007</v>
      </c>
      <c r="E39" s="25" t="s">
        <v>393</v>
      </c>
      <c r="F39" s="25" t="s">
        <v>410</v>
      </c>
      <c r="G39" s="25" t="s">
        <v>97</v>
      </c>
      <c r="H39" s="26">
        <v>42194</v>
      </c>
      <c r="I39" s="25">
        <v>158</v>
      </c>
      <c r="J39" s="25" t="s">
        <v>411</v>
      </c>
      <c r="K39" s="27">
        <v>3697034.9369999999</v>
      </c>
      <c r="L39" s="25">
        <v>214</v>
      </c>
      <c r="M39" s="27">
        <v>45.773535046728973</v>
      </c>
      <c r="N39" s="27">
        <v>47.147500000000001</v>
      </c>
      <c r="O39" s="27">
        <v>60.507145774409075</v>
      </c>
      <c r="P39" s="27">
        <v>1730.143</v>
      </c>
      <c r="Q39" s="27">
        <v>1648.1130000000001</v>
      </c>
      <c r="R39" s="27">
        <v>370250.65000000008</v>
      </c>
      <c r="S39" s="27">
        <f t="shared" si="0"/>
        <v>0.10014799868254534</v>
      </c>
    </row>
    <row r="40" spans="1:19" x14ac:dyDescent="0.25">
      <c r="A40" s="19">
        <v>33</v>
      </c>
      <c r="B40" s="19" t="s">
        <v>384</v>
      </c>
      <c r="C40" s="19" t="s">
        <v>95</v>
      </c>
      <c r="D40" s="20" t="s">
        <v>1007</v>
      </c>
      <c r="E40" s="25" t="s">
        <v>393</v>
      </c>
      <c r="F40" s="25" t="s">
        <v>412</v>
      </c>
      <c r="G40" s="25" t="s">
        <v>97</v>
      </c>
      <c r="H40" s="26">
        <v>42196</v>
      </c>
      <c r="I40" s="25">
        <v>179</v>
      </c>
      <c r="J40" s="25" t="s">
        <v>413</v>
      </c>
      <c r="K40" s="27">
        <v>2829145.5150000001</v>
      </c>
      <c r="L40" s="25">
        <v>326</v>
      </c>
      <c r="M40" s="27">
        <v>43.14836503067481</v>
      </c>
      <c r="N40" s="27">
        <v>42.106250000000003</v>
      </c>
      <c r="O40" s="27">
        <v>61.099101972175959</v>
      </c>
      <c r="P40" s="27">
        <v>1560.4633496932522</v>
      </c>
      <c r="Q40" s="27">
        <v>1298.1495</v>
      </c>
      <c r="R40" s="27">
        <v>508711.05200000026</v>
      </c>
      <c r="S40" s="27">
        <f t="shared" si="0"/>
        <v>0.17981084723385118</v>
      </c>
    </row>
    <row r="41" spans="1:19" x14ac:dyDescent="0.25">
      <c r="A41" s="19">
        <v>34</v>
      </c>
      <c r="B41" s="19" t="s">
        <v>384</v>
      </c>
      <c r="C41" s="19" t="s">
        <v>95</v>
      </c>
      <c r="D41" s="20" t="s">
        <v>1007</v>
      </c>
      <c r="E41" s="25" t="s">
        <v>393</v>
      </c>
      <c r="F41" s="25" t="s">
        <v>414</v>
      </c>
      <c r="G41" s="25" t="s">
        <v>97</v>
      </c>
      <c r="H41" s="26">
        <v>42220</v>
      </c>
      <c r="I41" s="25">
        <v>195</v>
      </c>
      <c r="J41" s="25" t="s">
        <v>350</v>
      </c>
      <c r="K41" s="27">
        <v>3113221.8679999998</v>
      </c>
      <c r="L41" s="25">
        <v>169</v>
      </c>
      <c r="M41" s="27">
        <v>55.129434911242605</v>
      </c>
      <c r="N41" s="27">
        <v>54.2425</v>
      </c>
      <c r="O41" s="27">
        <v>91.975892938192089</v>
      </c>
      <c r="P41" s="27">
        <v>2987.6114142011834</v>
      </c>
      <c r="Q41" s="27">
        <v>2229.6819999999998</v>
      </c>
      <c r="R41" s="27">
        <v>504906.32899999997</v>
      </c>
      <c r="S41" s="27">
        <f t="shared" si="0"/>
        <v>0.16218128691366368</v>
      </c>
    </row>
    <row r="42" spans="1:19" x14ac:dyDescent="0.25">
      <c r="A42" s="19">
        <v>35</v>
      </c>
      <c r="B42" s="19" t="s">
        <v>384</v>
      </c>
      <c r="C42" s="19" t="s">
        <v>95</v>
      </c>
      <c r="D42" s="20" t="s">
        <v>1007</v>
      </c>
      <c r="E42" s="25" t="s">
        <v>393</v>
      </c>
      <c r="F42" s="25" t="s">
        <v>415</v>
      </c>
      <c r="G42" s="25" t="s">
        <v>96</v>
      </c>
      <c r="H42" s="26">
        <v>42193</v>
      </c>
      <c r="I42" s="25">
        <v>209</v>
      </c>
      <c r="J42" s="25" t="s">
        <v>274</v>
      </c>
      <c r="K42" s="27">
        <v>1578653.446</v>
      </c>
      <c r="L42" s="25">
        <v>192</v>
      </c>
      <c r="M42" s="27">
        <v>42.87785156250002</v>
      </c>
      <c r="N42" s="27">
        <v>44.808749999999996</v>
      </c>
      <c r="O42" s="27">
        <v>52.232281938616325</v>
      </c>
      <c r="P42" s="27">
        <v>1464.506796875</v>
      </c>
      <c r="Q42" s="27">
        <v>1530.3605</v>
      </c>
      <c r="R42" s="27">
        <v>281185.30499999999</v>
      </c>
      <c r="S42" s="27">
        <f t="shared" si="0"/>
        <v>0.17811718316801495</v>
      </c>
    </row>
    <row r="43" spans="1:19" x14ac:dyDescent="0.25">
      <c r="A43" s="19">
        <v>36</v>
      </c>
      <c r="B43" s="19" t="s">
        <v>384</v>
      </c>
      <c r="C43" s="19" t="s">
        <v>95</v>
      </c>
      <c r="D43" s="20" t="s">
        <v>1007</v>
      </c>
      <c r="E43" s="25" t="s">
        <v>393</v>
      </c>
      <c r="F43" s="25" t="s">
        <v>418</v>
      </c>
      <c r="G43" s="25" t="s">
        <v>96</v>
      </c>
      <c r="H43" s="26">
        <v>42196</v>
      </c>
      <c r="I43" s="25">
        <v>210</v>
      </c>
      <c r="J43" s="25" t="s">
        <v>352</v>
      </c>
      <c r="K43" s="27">
        <v>3279730.2149999999</v>
      </c>
      <c r="L43" s="25">
        <v>92</v>
      </c>
      <c r="M43" s="27">
        <v>58.731722826086937</v>
      </c>
      <c r="N43" s="27">
        <v>58.342749999999995</v>
      </c>
      <c r="O43" s="27">
        <v>90.970460899723761</v>
      </c>
      <c r="P43" s="27">
        <v>3216.5149999999999</v>
      </c>
      <c r="Q43" s="27">
        <v>2487.6895</v>
      </c>
      <c r="R43" s="27">
        <v>295919.38999999972</v>
      </c>
      <c r="S43" s="27">
        <f t="shared" si="0"/>
        <v>9.022674750703534E-2</v>
      </c>
    </row>
    <row r="44" spans="1:19" x14ac:dyDescent="0.25">
      <c r="A44" s="19">
        <v>37</v>
      </c>
      <c r="B44" s="19" t="s">
        <v>384</v>
      </c>
      <c r="C44" s="19" t="s">
        <v>95</v>
      </c>
      <c r="D44" s="20" t="s">
        <v>1007</v>
      </c>
      <c r="E44" s="25" t="s">
        <v>393</v>
      </c>
      <c r="F44" s="25" t="s">
        <v>417</v>
      </c>
      <c r="G44" s="25" t="s">
        <v>97</v>
      </c>
      <c r="H44" s="26">
        <v>42196</v>
      </c>
      <c r="I44" s="25">
        <v>210</v>
      </c>
      <c r="J44" s="25" t="s">
        <v>352</v>
      </c>
      <c r="K44" s="27">
        <v>3190611.216</v>
      </c>
      <c r="L44" s="25">
        <v>91</v>
      </c>
      <c r="M44" s="27">
        <v>63.595225274725266</v>
      </c>
      <c r="N44" s="27">
        <v>62.192999999999998</v>
      </c>
      <c r="O44" s="27">
        <v>95.436109619084974</v>
      </c>
      <c r="P44" s="27">
        <v>3519.1019999999999</v>
      </c>
      <c r="Q44" s="27">
        <v>2845.5740000000001</v>
      </c>
      <c r="R44" s="27">
        <v>320238.27800000011</v>
      </c>
      <c r="S44" s="27">
        <f t="shared" si="0"/>
        <v>0.1003689438544242</v>
      </c>
    </row>
    <row r="45" spans="1:19" x14ac:dyDescent="0.25">
      <c r="A45" s="19">
        <v>38</v>
      </c>
      <c r="B45" s="19" t="s">
        <v>384</v>
      </c>
      <c r="C45" s="19" t="s">
        <v>95</v>
      </c>
      <c r="D45" s="20" t="s">
        <v>1007</v>
      </c>
      <c r="E45" s="25" t="s">
        <v>393</v>
      </c>
      <c r="F45" s="25" t="s">
        <v>420</v>
      </c>
      <c r="G45" s="25" t="s">
        <v>96</v>
      </c>
      <c r="H45" s="26">
        <v>42195</v>
      </c>
      <c r="I45" s="25">
        <v>212</v>
      </c>
      <c r="J45" s="25" t="s">
        <v>217</v>
      </c>
      <c r="K45" s="27">
        <v>5424568.3679999998</v>
      </c>
      <c r="L45" s="25">
        <v>216</v>
      </c>
      <c r="M45" s="27">
        <v>44.107430555555503</v>
      </c>
      <c r="N45" s="27">
        <v>45.053749999999994</v>
      </c>
      <c r="O45" s="27">
        <v>61.517193703048278</v>
      </c>
      <c r="P45" s="27">
        <v>1575.9079999999999</v>
      </c>
      <c r="Q45" s="27">
        <v>1458.027</v>
      </c>
      <c r="R45" s="27">
        <v>340396.04500000004</v>
      </c>
      <c r="S45" s="27">
        <f t="shared" si="0"/>
        <v>6.2750807420554583E-2</v>
      </c>
    </row>
    <row r="46" spans="1:19" x14ac:dyDescent="0.25">
      <c r="A46" s="19">
        <v>39</v>
      </c>
      <c r="B46" s="19" t="s">
        <v>384</v>
      </c>
      <c r="C46" s="19" t="s">
        <v>95</v>
      </c>
      <c r="D46" s="20" t="s">
        <v>1007</v>
      </c>
      <c r="E46" s="25" t="s">
        <v>393</v>
      </c>
      <c r="F46" s="25" t="s">
        <v>419</v>
      </c>
      <c r="G46" s="25" t="s">
        <v>97</v>
      </c>
      <c r="H46" s="26">
        <v>42195</v>
      </c>
      <c r="I46" s="25">
        <v>212</v>
      </c>
      <c r="J46" s="25" t="s">
        <v>217</v>
      </c>
      <c r="K46" s="27">
        <v>5086053.801</v>
      </c>
      <c r="L46" s="25">
        <v>99</v>
      </c>
      <c r="M46" s="27">
        <v>95.510064105555003</v>
      </c>
      <c r="N46" s="27">
        <v>92.221599999999995</v>
      </c>
      <c r="O46" s="27">
        <v>151.43142622591699</v>
      </c>
      <c r="P46" s="27">
        <v>8082.8869999999997</v>
      </c>
      <c r="Q46" s="27">
        <v>6332.4454999999998</v>
      </c>
      <c r="R46" s="27">
        <v>802211.23499999999</v>
      </c>
      <c r="S46" s="27">
        <f t="shared" si="0"/>
        <v>0.1577276345056107</v>
      </c>
    </row>
    <row r="47" spans="1:19" x14ac:dyDescent="0.25">
      <c r="A47" s="19">
        <v>40</v>
      </c>
      <c r="B47" s="19" t="s">
        <v>384</v>
      </c>
      <c r="C47" s="19" t="s">
        <v>95</v>
      </c>
      <c r="D47" s="20" t="s">
        <v>1007</v>
      </c>
      <c r="E47" s="25" t="s">
        <v>393</v>
      </c>
      <c r="F47" s="25" t="s">
        <v>422</v>
      </c>
      <c r="G47" s="25" t="s">
        <v>97</v>
      </c>
      <c r="H47" s="26">
        <v>42212</v>
      </c>
      <c r="I47" s="25">
        <v>267</v>
      </c>
      <c r="J47" s="25" t="s">
        <v>305</v>
      </c>
      <c r="K47" s="27">
        <v>2599951.5419999999</v>
      </c>
      <c r="L47" s="25">
        <v>192</v>
      </c>
      <c r="M47" s="27">
        <v>52.553763020833351</v>
      </c>
      <c r="N47" s="27">
        <v>56.936750000000004</v>
      </c>
      <c r="O47" s="27">
        <v>75.75316950363613</v>
      </c>
      <c r="P47" s="27">
        <v>2445.0605208333318</v>
      </c>
      <c r="Q47" s="27">
        <v>2401.654</v>
      </c>
      <c r="R47" s="27">
        <v>469451.6199999997</v>
      </c>
      <c r="S47" s="27">
        <f t="shared" si="0"/>
        <v>0.18056168063766156</v>
      </c>
    </row>
    <row r="48" spans="1:19" x14ac:dyDescent="0.25">
      <c r="A48" s="19">
        <v>41</v>
      </c>
      <c r="B48" s="19" t="s">
        <v>384</v>
      </c>
      <c r="C48" s="19" t="s">
        <v>95</v>
      </c>
      <c r="D48" s="20" t="s">
        <v>1007</v>
      </c>
      <c r="E48" s="25" t="s">
        <v>393</v>
      </c>
      <c r="F48" s="25" t="s">
        <v>423</v>
      </c>
      <c r="G48" s="25" t="s">
        <v>96</v>
      </c>
      <c r="H48" s="26">
        <v>42216</v>
      </c>
      <c r="I48" s="25">
        <v>275</v>
      </c>
      <c r="J48" s="25" t="s">
        <v>217</v>
      </c>
      <c r="K48" s="27">
        <v>2942994.9360000002</v>
      </c>
      <c r="L48" s="25">
        <v>201</v>
      </c>
      <c r="M48" s="27">
        <v>45.719067164179123</v>
      </c>
      <c r="N48" s="27">
        <v>46.588499999999996</v>
      </c>
      <c r="O48" s="27">
        <v>64.959335306826929</v>
      </c>
      <c r="P48" s="27">
        <v>1737.117</v>
      </c>
      <c r="Q48" s="27">
        <v>1484.2819999999999</v>
      </c>
      <c r="R48" s="27">
        <v>349160.53599999985</v>
      </c>
      <c r="S48" s="27">
        <f t="shared" si="0"/>
        <v>0.11864122894977344</v>
      </c>
    </row>
    <row r="49" spans="1:19" x14ac:dyDescent="0.25">
      <c r="A49" s="19">
        <v>42</v>
      </c>
      <c r="B49" s="19" t="s">
        <v>384</v>
      </c>
      <c r="C49" s="19" t="s">
        <v>95</v>
      </c>
      <c r="D49" s="20" t="s">
        <v>1007</v>
      </c>
      <c r="E49" s="25" t="s">
        <v>393</v>
      </c>
      <c r="F49" s="25" t="s">
        <v>424</v>
      </c>
      <c r="G49" s="25" t="s">
        <v>96</v>
      </c>
      <c r="H49" s="26">
        <v>42216</v>
      </c>
      <c r="I49" s="25">
        <v>276</v>
      </c>
      <c r="J49" s="25" t="s">
        <v>174</v>
      </c>
      <c r="K49" s="27">
        <v>3357219.2850000001</v>
      </c>
      <c r="L49" s="25">
        <v>183</v>
      </c>
      <c r="M49" s="27">
        <v>59.868762295081972</v>
      </c>
      <c r="N49" s="27">
        <v>60.1995</v>
      </c>
      <c r="O49" s="27">
        <v>83.787189733531179</v>
      </c>
      <c r="P49" s="27">
        <v>3069.8368087431691</v>
      </c>
      <c r="Q49" s="27">
        <v>2664.8969999999999</v>
      </c>
      <c r="R49" s="27">
        <v>561780.13599999994</v>
      </c>
      <c r="S49" s="27">
        <f t="shared" si="0"/>
        <v>0.16733495441004531</v>
      </c>
    </row>
    <row r="50" spans="1:19" x14ac:dyDescent="0.25">
      <c r="A50" s="19">
        <v>43</v>
      </c>
      <c r="B50" s="19" t="s">
        <v>384</v>
      </c>
      <c r="C50" s="19" t="s">
        <v>95</v>
      </c>
      <c r="D50" s="20" t="s">
        <v>1007</v>
      </c>
      <c r="E50" s="25" t="s">
        <v>393</v>
      </c>
      <c r="F50" s="25" t="s">
        <v>425</v>
      </c>
      <c r="G50" s="25" t="s">
        <v>96</v>
      </c>
      <c r="H50" s="26">
        <v>42201</v>
      </c>
      <c r="I50" s="25">
        <v>277</v>
      </c>
      <c r="J50" s="25" t="s">
        <v>265</v>
      </c>
      <c r="K50" s="27">
        <v>4714933.1370000001</v>
      </c>
      <c r="L50" s="25">
        <v>155</v>
      </c>
      <c r="M50" s="27">
        <v>57.040716129032276</v>
      </c>
      <c r="N50" s="27">
        <v>59.274000000000001</v>
      </c>
      <c r="O50" s="27">
        <v>73.265307116255272</v>
      </c>
      <c r="P50" s="27">
        <v>2689.4279999999999</v>
      </c>
      <c r="Q50" s="27">
        <v>2682.4430000000002</v>
      </c>
      <c r="R50" s="27">
        <v>416861.30600000022</v>
      </c>
      <c r="S50" s="27">
        <f t="shared" si="0"/>
        <v>8.8412983575253665E-2</v>
      </c>
    </row>
    <row r="51" spans="1:19" x14ac:dyDescent="0.25">
      <c r="A51" s="19">
        <v>44</v>
      </c>
      <c r="B51" s="19" t="s">
        <v>384</v>
      </c>
      <c r="C51" s="19" t="s">
        <v>95</v>
      </c>
      <c r="D51" s="20" t="s">
        <v>1007</v>
      </c>
      <c r="E51" s="25" t="s">
        <v>393</v>
      </c>
      <c r="F51" s="25" t="s">
        <v>426</v>
      </c>
      <c r="G51" s="25" t="s">
        <v>96</v>
      </c>
      <c r="H51" s="26">
        <v>42201</v>
      </c>
      <c r="I51" s="25">
        <v>279</v>
      </c>
      <c r="J51" s="25" t="s">
        <v>337</v>
      </c>
      <c r="K51" s="27">
        <v>4348230.0640000002</v>
      </c>
      <c r="L51" s="25">
        <v>121</v>
      </c>
      <c r="M51" s="27">
        <v>71.626260330578532</v>
      </c>
      <c r="N51" s="27">
        <v>74.958500000000001</v>
      </c>
      <c r="O51" s="27">
        <v>96.876317293555388</v>
      </c>
      <c r="P51" s="27">
        <v>4356.0929999999998</v>
      </c>
      <c r="Q51" s="27">
        <v>4256.1090000000004</v>
      </c>
      <c r="R51" s="27">
        <v>527087.20999999973</v>
      </c>
      <c r="S51" s="27">
        <f t="shared" si="0"/>
        <v>0.12121879528957687</v>
      </c>
    </row>
    <row r="52" spans="1:19" x14ac:dyDescent="0.25">
      <c r="A52" s="19">
        <v>45</v>
      </c>
      <c r="B52" s="19" t="s">
        <v>384</v>
      </c>
      <c r="C52" s="19" t="s">
        <v>95</v>
      </c>
      <c r="D52" s="20" t="s">
        <v>1007</v>
      </c>
      <c r="E52" s="25" t="s">
        <v>393</v>
      </c>
      <c r="F52" s="25" t="s">
        <v>427</v>
      </c>
      <c r="G52" s="25" t="s">
        <v>96</v>
      </c>
      <c r="H52" s="26">
        <v>42212</v>
      </c>
      <c r="I52" s="25">
        <v>280</v>
      </c>
      <c r="J52" s="25" t="s">
        <v>368</v>
      </c>
      <c r="K52" s="27">
        <v>4348369.2129999995</v>
      </c>
      <c r="L52" s="25">
        <v>240</v>
      </c>
      <c r="M52" s="27">
        <v>58.74787916666665</v>
      </c>
      <c r="N52" s="27">
        <v>60.036249999999995</v>
      </c>
      <c r="O52" s="27">
        <v>76.739501086068088</v>
      </c>
      <c r="P52" s="27">
        <v>2845.0069333333331</v>
      </c>
      <c r="Q52" s="27">
        <v>2671.0450000000001</v>
      </c>
      <c r="R52" s="27">
        <v>682801.66399999999</v>
      </c>
      <c r="S52" s="27">
        <f t="shared" si="0"/>
        <v>0.15702476734465834</v>
      </c>
    </row>
    <row r="53" spans="1:19" x14ac:dyDescent="0.25">
      <c r="A53" s="19">
        <v>46</v>
      </c>
      <c r="B53" s="19" t="s">
        <v>384</v>
      </c>
      <c r="C53" s="19" t="s">
        <v>95</v>
      </c>
      <c r="D53" s="20" t="s">
        <v>1007</v>
      </c>
      <c r="E53" s="25" t="s">
        <v>393</v>
      </c>
      <c r="F53" s="25" t="s">
        <v>428</v>
      </c>
      <c r="G53" s="25" t="s">
        <v>96</v>
      </c>
      <c r="H53" s="26">
        <v>42201</v>
      </c>
      <c r="I53" s="25">
        <v>281</v>
      </c>
      <c r="J53" s="25" t="s">
        <v>240</v>
      </c>
      <c r="K53" s="27">
        <v>4421776.0039999997</v>
      </c>
      <c r="L53" s="25">
        <v>158</v>
      </c>
      <c r="M53" s="27">
        <v>54.253325949367074</v>
      </c>
      <c r="N53" s="27">
        <v>53.954250000000002</v>
      </c>
      <c r="O53" s="27">
        <v>74.83307563085657</v>
      </c>
      <c r="P53" s="27">
        <v>2433.366</v>
      </c>
      <c r="Q53" s="27">
        <v>2086.0460000000003</v>
      </c>
      <c r="R53" s="27">
        <v>384471.74599999975</v>
      </c>
      <c r="S53" s="27">
        <f t="shared" si="0"/>
        <v>8.6949620616738901E-2</v>
      </c>
    </row>
    <row r="54" spans="1:19" x14ac:dyDescent="0.25">
      <c r="A54" s="19">
        <v>47</v>
      </c>
      <c r="B54" s="19" t="s">
        <v>384</v>
      </c>
      <c r="C54" s="19" t="s">
        <v>95</v>
      </c>
      <c r="D54" s="20" t="s">
        <v>1007</v>
      </c>
      <c r="E54" s="25" t="s">
        <v>393</v>
      </c>
      <c r="F54" s="25" t="s">
        <v>429</v>
      </c>
      <c r="G54" s="25" t="s">
        <v>96</v>
      </c>
      <c r="H54" s="26">
        <v>42200</v>
      </c>
      <c r="I54" s="25">
        <v>283</v>
      </c>
      <c r="J54" s="25" t="s">
        <v>301</v>
      </c>
      <c r="K54" s="27">
        <v>6831109.5970000001</v>
      </c>
      <c r="L54" s="25">
        <v>200</v>
      </c>
      <c r="M54" s="27">
        <v>47.768956014373799</v>
      </c>
      <c r="N54" s="27">
        <v>50.100200000000001</v>
      </c>
      <c r="O54" s="27">
        <v>65.700215675649204</v>
      </c>
      <c r="P54" s="27">
        <v>1911.471</v>
      </c>
      <c r="Q54" s="27">
        <v>1971.028</v>
      </c>
      <c r="R54" s="27">
        <v>401534.61099999998</v>
      </c>
      <c r="S54" s="27">
        <f t="shared" si="0"/>
        <v>5.8780291151578193E-2</v>
      </c>
    </row>
    <row r="55" spans="1:19" x14ac:dyDescent="0.25">
      <c r="A55" s="19">
        <v>48</v>
      </c>
      <c r="B55" s="19" t="s">
        <v>384</v>
      </c>
      <c r="C55" s="19" t="s">
        <v>95</v>
      </c>
      <c r="D55" s="20" t="s">
        <v>1007</v>
      </c>
      <c r="E55" s="25" t="s">
        <v>393</v>
      </c>
      <c r="F55" s="25" t="s">
        <v>430</v>
      </c>
      <c r="G55" s="25" t="s">
        <v>96</v>
      </c>
      <c r="H55" s="26">
        <v>42212</v>
      </c>
      <c r="I55" s="25">
        <v>285</v>
      </c>
      <c r="J55" s="25" t="s">
        <v>285</v>
      </c>
      <c r="K55" s="27">
        <v>4082446.4980000001</v>
      </c>
      <c r="L55" s="25">
        <v>183</v>
      </c>
      <c r="M55" s="27">
        <v>58.242855191256808</v>
      </c>
      <c r="N55" s="27">
        <v>61.212000000000003</v>
      </c>
      <c r="O55" s="27">
        <v>70.176641431154465</v>
      </c>
      <c r="P55" s="27">
        <v>2744.223</v>
      </c>
      <c r="Q55" s="27">
        <v>2840.6729999999998</v>
      </c>
      <c r="R55" s="27">
        <v>502192.81799999997</v>
      </c>
      <c r="S55" s="27">
        <f t="shared" si="0"/>
        <v>0.12301271265796757</v>
      </c>
    </row>
    <row r="56" spans="1:19" x14ac:dyDescent="0.25">
      <c r="A56" s="19">
        <v>49</v>
      </c>
      <c r="B56" s="19" t="s">
        <v>384</v>
      </c>
      <c r="C56" s="19" t="s">
        <v>95</v>
      </c>
      <c r="D56" s="20" t="s">
        <v>1007</v>
      </c>
      <c r="E56" s="25" t="s">
        <v>393</v>
      </c>
      <c r="F56" s="25" t="s">
        <v>431</v>
      </c>
      <c r="G56" s="25" t="s">
        <v>96</v>
      </c>
      <c r="H56" s="26">
        <v>42200</v>
      </c>
      <c r="I56" s="25">
        <v>286</v>
      </c>
      <c r="J56" s="25" t="s">
        <v>265</v>
      </c>
      <c r="K56" s="27">
        <v>3588660.8790000002</v>
      </c>
      <c r="L56" s="25">
        <v>138</v>
      </c>
      <c r="M56" s="27">
        <v>56.94758333333332</v>
      </c>
      <c r="N56" s="27">
        <v>57.734999999999999</v>
      </c>
      <c r="O56" s="27">
        <v>74.946582832702234</v>
      </c>
      <c r="P56" s="27">
        <v>2619.46</v>
      </c>
      <c r="Q56" s="27">
        <v>2344.1620000000003</v>
      </c>
      <c r="R56" s="27">
        <v>361485.44900000014</v>
      </c>
      <c r="S56" s="27">
        <f t="shared" si="0"/>
        <v>0.10072989931016553</v>
      </c>
    </row>
    <row r="57" spans="1:19" x14ac:dyDescent="0.25">
      <c r="A57" s="19">
        <v>50</v>
      </c>
      <c r="B57" s="19" t="s">
        <v>384</v>
      </c>
      <c r="C57" s="19" t="s">
        <v>95</v>
      </c>
      <c r="D57" s="20" t="s">
        <v>1007</v>
      </c>
      <c r="E57" s="25" t="s">
        <v>393</v>
      </c>
      <c r="F57" s="25" t="s">
        <v>432</v>
      </c>
      <c r="G57" s="25" t="s">
        <v>96</v>
      </c>
      <c r="H57" s="26">
        <v>42200</v>
      </c>
      <c r="I57" s="25">
        <v>287</v>
      </c>
      <c r="J57" s="25" t="s">
        <v>294</v>
      </c>
      <c r="K57" s="27">
        <v>3378757.031</v>
      </c>
      <c r="L57" s="25">
        <v>216</v>
      </c>
      <c r="M57" s="27">
        <v>40.636481481481482</v>
      </c>
      <c r="N57" s="27">
        <v>40.363500000000002</v>
      </c>
      <c r="O57" s="27">
        <v>57.263979685242049</v>
      </c>
      <c r="P57" s="27">
        <v>1390.94</v>
      </c>
      <c r="Q57" s="27">
        <v>1146.585</v>
      </c>
      <c r="R57" s="27">
        <v>300442.95499999967</v>
      </c>
      <c r="S57" s="27">
        <f t="shared" si="0"/>
        <v>8.8921148293127944E-2</v>
      </c>
    </row>
    <row r="58" spans="1:19" x14ac:dyDescent="0.25">
      <c r="A58" s="19">
        <v>51</v>
      </c>
      <c r="B58" s="19" t="s">
        <v>384</v>
      </c>
      <c r="C58" s="19" t="s">
        <v>95</v>
      </c>
      <c r="D58" s="20" t="s">
        <v>1007</v>
      </c>
      <c r="E58" s="25" t="s">
        <v>393</v>
      </c>
      <c r="F58" s="25" t="s">
        <v>433</v>
      </c>
      <c r="G58" s="25" t="s">
        <v>96</v>
      </c>
      <c r="H58" s="26">
        <v>42200</v>
      </c>
      <c r="I58" s="25">
        <v>288</v>
      </c>
      <c r="J58" s="25" t="s">
        <v>137</v>
      </c>
      <c r="K58" s="27">
        <v>2095472.0060000001</v>
      </c>
      <c r="L58" s="25">
        <v>220</v>
      </c>
      <c r="M58" s="27">
        <v>36.96381136363636</v>
      </c>
      <c r="N58" s="27">
        <v>34.209500000000006</v>
      </c>
      <c r="O58" s="27">
        <v>55.584528443915779</v>
      </c>
      <c r="P58" s="27">
        <v>1146.3130000000001</v>
      </c>
      <c r="Q58" s="27">
        <v>848.79449999999997</v>
      </c>
      <c r="R58" s="27">
        <v>252188.84499999994</v>
      </c>
      <c r="S58" s="27">
        <f t="shared" si="0"/>
        <v>0.12034942212442037</v>
      </c>
    </row>
    <row r="59" spans="1:19" x14ac:dyDescent="0.25">
      <c r="A59" s="19">
        <v>52</v>
      </c>
      <c r="B59" s="19" t="s">
        <v>384</v>
      </c>
      <c r="C59" s="19" t="s">
        <v>95</v>
      </c>
      <c r="D59" s="20" t="s">
        <v>1007</v>
      </c>
      <c r="E59" s="25" t="s">
        <v>393</v>
      </c>
      <c r="F59" s="25" t="s">
        <v>434</v>
      </c>
      <c r="G59" s="25" t="s">
        <v>97</v>
      </c>
      <c r="H59" s="26">
        <v>42220</v>
      </c>
      <c r="I59" s="25">
        <v>289</v>
      </c>
      <c r="J59" s="25" t="s">
        <v>210</v>
      </c>
      <c r="K59" s="27">
        <v>5240505.0290000001</v>
      </c>
      <c r="L59" s="25">
        <v>112</v>
      </c>
      <c r="M59" s="27">
        <v>88.322933035714271</v>
      </c>
      <c r="N59" s="27">
        <v>88.08</v>
      </c>
      <c r="O59" s="27">
        <v>135.6798189580403</v>
      </c>
      <c r="P59" s="27">
        <v>6809.2669999999998</v>
      </c>
      <c r="Q59" s="27">
        <v>5316.9269999999997</v>
      </c>
      <c r="R59" s="27">
        <v>762637.86900000006</v>
      </c>
      <c r="S59" s="27">
        <f t="shared" si="0"/>
        <v>0.14552755216905641</v>
      </c>
    </row>
    <row r="60" spans="1:19" x14ac:dyDescent="0.25">
      <c r="A60" s="19">
        <v>53</v>
      </c>
      <c r="B60" s="19" t="s">
        <v>384</v>
      </c>
      <c r="C60" s="19" t="s">
        <v>95</v>
      </c>
      <c r="D60" s="20" t="s">
        <v>1007</v>
      </c>
      <c r="E60" s="25" t="s">
        <v>393</v>
      </c>
      <c r="F60" s="25" t="s">
        <v>435</v>
      </c>
      <c r="G60" s="25" t="s">
        <v>96</v>
      </c>
      <c r="H60" s="26">
        <v>42212</v>
      </c>
      <c r="I60" s="25">
        <v>290</v>
      </c>
      <c r="J60" s="25" t="s">
        <v>217</v>
      </c>
      <c r="K60" s="27">
        <v>5038605.8020000001</v>
      </c>
      <c r="L60" s="25">
        <v>98</v>
      </c>
      <c r="M60" s="27">
        <v>95.601505102040804</v>
      </c>
      <c r="N60" s="27">
        <v>92.162499999999994</v>
      </c>
      <c r="O60" s="27">
        <v>150.3414622259705</v>
      </c>
      <c r="P60" s="27">
        <v>8083.7879999999996</v>
      </c>
      <c r="Q60" s="27">
        <v>6323.4844999999996</v>
      </c>
      <c r="R60" s="27">
        <v>792211.25400000019</v>
      </c>
      <c r="S60" s="27">
        <f t="shared" si="0"/>
        <v>0.15722826613773669</v>
      </c>
    </row>
    <row r="61" spans="1:19" x14ac:dyDescent="0.25">
      <c r="A61" s="19">
        <v>54</v>
      </c>
      <c r="B61" s="19" t="s">
        <v>384</v>
      </c>
      <c r="C61" s="19" t="s">
        <v>95</v>
      </c>
      <c r="D61" s="20" t="s">
        <v>1007</v>
      </c>
      <c r="E61" s="25" t="s">
        <v>393</v>
      </c>
      <c r="F61" s="25" t="s">
        <v>436</v>
      </c>
      <c r="G61" s="25" t="s">
        <v>96</v>
      </c>
      <c r="H61" s="26">
        <v>42207</v>
      </c>
      <c r="I61" s="25">
        <v>294</v>
      </c>
      <c r="J61" s="25" t="s">
        <v>190</v>
      </c>
      <c r="K61" s="27">
        <v>3007987.3539999998</v>
      </c>
      <c r="L61" s="25">
        <v>198</v>
      </c>
      <c r="M61" s="27">
        <v>39.204611122222197</v>
      </c>
      <c r="N61" s="27">
        <v>38.1008</v>
      </c>
      <c r="O61" s="27">
        <v>47.995583623505098</v>
      </c>
      <c r="P61" s="27">
        <v>1109.8789999999999</v>
      </c>
      <c r="Q61" s="27">
        <v>1010.877</v>
      </c>
      <c r="R61" s="27">
        <v>280160.87</v>
      </c>
      <c r="S61" s="27">
        <f t="shared" si="0"/>
        <v>9.3138978668724823E-2</v>
      </c>
    </row>
    <row r="62" spans="1:19" x14ac:dyDescent="0.25">
      <c r="A62" s="19">
        <v>55</v>
      </c>
      <c r="B62" s="19" t="s">
        <v>384</v>
      </c>
      <c r="C62" s="19" t="s">
        <v>95</v>
      </c>
      <c r="D62" s="20" t="s">
        <v>1007</v>
      </c>
      <c r="E62" s="25" t="s">
        <v>393</v>
      </c>
      <c r="F62" s="25" t="s">
        <v>438</v>
      </c>
      <c r="G62" s="25" t="s">
        <v>97</v>
      </c>
      <c r="H62" s="26">
        <v>42194</v>
      </c>
      <c r="I62" s="25">
        <v>324</v>
      </c>
      <c r="J62" s="25" t="s">
        <v>326</v>
      </c>
      <c r="K62" s="27">
        <v>5056792.2240000004</v>
      </c>
      <c r="L62" s="25">
        <v>104</v>
      </c>
      <c r="M62" s="27">
        <v>91.633163461538444</v>
      </c>
      <c r="N62" s="27">
        <v>94.844250000000002</v>
      </c>
      <c r="O62" s="27">
        <v>121.83705801234296</v>
      </c>
      <c r="P62" s="27">
        <v>7209.299</v>
      </c>
      <c r="Q62" s="27">
        <v>6890.3595000000005</v>
      </c>
      <c r="R62" s="27">
        <v>749767.09299999953</v>
      </c>
      <c r="S62" s="27">
        <f t="shared" si="0"/>
        <v>0.14826930982877565</v>
      </c>
    </row>
    <row r="63" spans="1:19" x14ac:dyDescent="0.25">
      <c r="A63" s="19">
        <v>56</v>
      </c>
      <c r="B63" s="19" t="s">
        <v>384</v>
      </c>
      <c r="C63" s="19" t="s">
        <v>95</v>
      </c>
      <c r="D63" s="20" t="s">
        <v>1007</v>
      </c>
      <c r="E63" s="25" t="s">
        <v>393</v>
      </c>
      <c r="F63" s="25" t="s">
        <v>439</v>
      </c>
      <c r="G63" s="25" t="s">
        <v>96</v>
      </c>
      <c r="H63" s="26">
        <v>42194</v>
      </c>
      <c r="I63" s="25">
        <v>324</v>
      </c>
      <c r="J63" s="25" t="s">
        <v>326</v>
      </c>
      <c r="K63" s="27">
        <v>5726041.2139999997</v>
      </c>
      <c r="L63" s="25">
        <v>73</v>
      </c>
      <c r="M63" s="27">
        <v>91.866020547945212</v>
      </c>
      <c r="N63" s="27">
        <v>87.432500000000005</v>
      </c>
      <c r="O63" s="27">
        <v>138.23091868371068</v>
      </c>
      <c r="P63" s="27">
        <v>7565.6409999999996</v>
      </c>
      <c r="Q63" s="27">
        <v>5791.5</v>
      </c>
      <c r="R63" s="27">
        <v>552291.76799999969</v>
      </c>
      <c r="S63" s="27">
        <f t="shared" si="0"/>
        <v>9.6452635836721326E-2</v>
      </c>
    </row>
    <row r="64" spans="1:19" x14ac:dyDescent="0.25">
      <c r="A64" s="19">
        <v>57</v>
      </c>
      <c r="B64" s="19" t="s">
        <v>384</v>
      </c>
      <c r="C64" s="19" t="s">
        <v>95</v>
      </c>
      <c r="D64" s="20" t="s">
        <v>1007</v>
      </c>
      <c r="E64" s="25" t="s">
        <v>393</v>
      </c>
      <c r="F64" s="25" t="s">
        <v>440</v>
      </c>
      <c r="G64" s="25" t="s">
        <v>97</v>
      </c>
      <c r="H64" s="26">
        <v>42195</v>
      </c>
      <c r="I64" s="25">
        <v>327</v>
      </c>
      <c r="J64" s="25" t="s">
        <v>312</v>
      </c>
      <c r="K64" s="27">
        <v>3005480.423</v>
      </c>
      <c r="L64" s="25">
        <v>94</v>
      </c>
      <c r="M64" s="27">
        <v>71.415563829787231</v>
      </c>
      <c r="N64" s="27">
        <v>77.420749999999998</v>
      </c>
      <c r="O64" s="27">
        <v>90.43825591370198</v>
      </c>
      <c r="P64" s="27">
        <v>4322.8675106382971</v>
      </c>
      <c r="Q64" s="27">
        <v>4579.3604999999998</v>
      </c>
      <c r="R64" s="27">
        <v>406349.54599999991</v>
      </c>
      <c r="S64" s="27">
        <f t="shared" si="0"/>
        <v>0.13520285904720394</v>
      </c>
    </row>
    <row r="65" spans="1:19" x14ac:dyDescent="0.25">
      <c r="A65" s="19">
        <v>58</v>
      </c>
      <c r="B65" s="19" t="s">
        <v>384</v>
      </c>
      <c r="C65" s="19" t="s">
        <v>95</v>
      </c>
      <c r="D65" s="20" t="s">
        <v>1007</v>
      </c>
      <c r="E65" s="25" t="s">
        <v>393</v>
      </c>
      <c r="F65" s="25" t="s">
        <v>441</v>
      </c>
      <c r="G65" s="25" t="s">
        <v>97</v>
      </c>
      <c r="H65" s="26">
        <v>42195</v>
      </c>
      <c r="I65" s="25">
        <v>330</v>
      </c>
      <c r="J65" s="25" t="s">
        <v>338</v>
      </c>
      <c r="K65" s="27">
        <v>3036918.2859999998</v>
      </c>
      <c r="L65" s="25">
        <v>210</v>
      </c>
      <c r="M65" s="27">
        <v>51.963754761904774</v>
      </c>
      <c r="N65" s="27">
        <v>52.3675</v>
      </c>
      <c r="O65" s="27">
        <v>85.675524284824377</v>
      </c>
      <c r="P65" s="27">
        <v>2665.6394904761892</v>
      </c>
      <c r="Q65" s="27">
        <v>2019.2804999999998</v>
      </c>
      <c r="R65" s="27">
        <v>559784.29299999971</v>
      </c>
      <c r="S65" s="27">
        <f t="shared" si="0"/>
        <v>0.1843264257654115</v>
      </c>
    </row>
    <row r="66" spans="1:19" x14ac:dyDescent="0.25">
      <c r="A66" s="19">
        <v>59</v>
      </c>
      <c r="B66" s="19" t="s">
        <v>384</v>
      </c>
      <c r="C66" s="19" t="s">
        <v>95</v>
      </c>
      <c r="D66" s="20" t="s">
        <v>1007</v>
      </c>
      <c r="E66" s="25" t="s">
        <v>393</v>
      </c>
      <c r="F66" s="25" t="s">
        <v>442</v>
      </c>
      <c r="G66" s="25" t="s">
        <v>96</v>
      </c>
      <c r="H66" s="26">
        <v>42210</v>
      </c>
      <c r="I66" s="25">
        <v>336</v>
      </c>
      <c r="J66" s="25" t="s">
        <v>217</v>
      </c>
      <c r="K66" s="27">
        <v>3554348.76</v>
      </c>
      <c r="L66" s="25">
        <v>228</v>
      </c>
      <c r="M66" s="27">
        <v>47.144247807017543</v>
      </c>
      <c r="N66" s="27">
        <v>47.366749999999996</v>
      </c>
      <c r="O66" s="27">
        <v>64.130282986634782</v>
      </c>
      <c r="P66" s="27">
        <v>1812.6990000000001</v>
      </c>
      <c r="Q66" s="27">
        <v>1622.4414999999999</v>
      </c>
      <c r="R66" s="27">
        <v>413295.29600000038</v>
      </c>
      <c r="S66" s="27">
        <f t="shared" si="0"/>
        <v>0.11627876832210478</v>
      </c>
    </row>
    <row r="67" spans="1:19" x14ac:dyDescent="0.25">
      <c r="A67" s="19">
        <v>60</v>
      </c>
      <c r="B67" s="19" t="s">
        <v>384</v>
      </c>
      <c r="C67" s="19" t="s">
        <v>95</v>
      </c>
      <c r="D67" s="20" t="s">
        <v>1007</v>
      </c>
      <c r="E67" s="25" t="s">
        <v>393</v>
      </c>
      <c r="F67" s="25" t="s">
        <v>443</v>
      </c>
      <c r="G67" s="25" t="s">
        <v>96</v>
      </c>
      <c r="H67" s="26">
        <v>42202</v>
      </c>
      <c r="I67" s="25">
        <v>339</v>
      </c>
      <c r="J67" s="25" t="s">
        <v>299</v>
      </c>
      <c r="K67" s="27">
        <v>4065948.7969999998</v>
      </c>
      <c r="L67" s="25">
        <v>253</v>
      </c>
      <c r="M67" s="27">
        <v>52.603865612648221</v>
      </c>
      <c r="N67" s="27">
        <v>56.868000000000002</v>
      </c>
      <c r="O67" s="27">
        <v>68.449695764152196</v>
      </c>
      <c r="P67" s="27">
        <v>2225.98</v>
      </c>
      <c r="Q67" s="27">
        <v>2367.3829999999998</v>
      </c>
      <c r="R67" s="27">
        <v>563172.9980000006</v>
      </c>
      <c r="S67" s="27">
        <f t="shared" si="0"/>
        <v>0.13850961389762936</v>
      </c>
    </row>
    <row r="68" spans="1:19" x14ac:dyDescent="0.25">
      <c r="A68" s="19">
        <v>61</v>
      </c>
      <c r="B68" s="19" t="s">
        <v>384</v>
      </c>
      <c r="C68" s="19" t="s">
        <v>95</v>
      </c>
      <c r="D68" s="20" t="s">
        <v>1007</v>
      </c>
      <c r="E68" s="25" t="s">
        <v>393</v>
      </c>
      <c r="F68" s="25" t="s">
        <v>444</v>
      </c>
      <c r="G68" s="25" t="s">
        <v>96</v>
      </c>
      <c r="H68" s="26">
        <v>42210</v>
      </c>
      <c r="I68" s="25">
        <v>340</v>
      </c>
      <c r="J68" s="25" t="s">
        <v>283</v>
      </c>
      <c r="K68" s="27">
        <v>3961837.3820000002</v>
      </c>
      <c r="L68" s="25">
        <v>114</v>
      </c>
      <c r="M68" s="27">
        <v>49.038149122807042</v>
      </c>
      <c r="N68" s="27">
        <v>45.703749999999999</v>
      </c>
      <c r="O68" s="27">
        <v>73.72073636380135</v>
      </c>
      <c r="P68" s="27">
        <v>2009.31</v>
      </c>
      <c r="Q68" s="27">
        <v>1497.3510000000001</v>
      </c>
      <c r="R68" s="27">
        <v>229061.35200000007</v>
      </c>
      <c r="S68" s="27">
        <f t="shared" si="0"/>
        <v>5.7816949539803209E-2</v>
      </c>
    </row>
    <row r="69" spans="1:19" x14ac:dyDescent="0.25">
      <c r="A69" s="19">
        <v>62</v>
      </c>
      <c r="B69" s="19" t="s">
        <v>384</v>
      </c>
      <c r="C69" s="19" t="s">
        <v>95</v>
      </c>
      <c r="D69" s="20" t="s">
        <v>1007</v>
      </c>
      <c r="E69" s="25" t="s">
        <v>393</v>
      </c>
      <c r="F69" s="25" t="s">
        <v>445</v>
      </c>
      <c r="G69" s="25" t="s">
        <v>97</v>
      </c>
      <c r="H69" s="26">
        <v>42219</v>
      </c>
      <c r="I69" s="25">
        <v>341</v>
      </c>
      <c r="J69" s="25" t="s">
        <v>341</v>
      </c>
      <c r="K69" s="27">
        <v>2905535.2519999999</v>
      </c>
      <c r="L69" s="25">
        <v>251</v>
      </c>
      <c r="M69" s="27">
        <v>43.476314741035843</v>
      </c>
      <c r="N69" s="27">
        <v>44.787999999999997</v>
      </c>
      <c r="O69" s="27">
        <v>60.891002229830576</v>
      </c>
      <c r="P69" s="27">
        <v>1602.856</v>
      </c>
      <c r="Q69" s="27">
        <v>1512.7539999999999</v>
      </c>
      <c r="R69" s="27">
        <v>402316.74000000017</v>
      </c>
      <c r="S69" s="27">
        <f t="shared" si="0"/>
        <v>0.13846561996557052</v>
      </c>
    </row>
    <row r="70" spans="1:19" x14ac:dyDescent="0.25">
      <c r="A70" s="19">
        <v>63</v>
      </c>
      <c r="B70" s="19" t="s">
        <v>384</v>
      </c>
      <c r="C70" s="19" t="s">
        <v>95</v>
      </c>
      <c r="D70" s="20" t="s">
        <v>1007</v>
      </c>
      <c r="E70" s="25" t="s">
        <v>393</v>
      </c>
      <c r="F70" s="25" t="s">
        <v>446</v>
      </c>
      <c r="G70" s="25" t="s">
        <v>96</v>
      </c>
      <c r="H70" s="26">
        <v>42217</v>
      </c>
      <c r="I70" s="25">
        <v>343</v>
      </c>
      <c r="J70" s="25" t="s">
        <v>217</v>
      </c>
      <c r="K70" s="27">
        <v>4878390.1610000003</v>
      </c>
      <c r="L70" s="25">
        <v>133</v>
      </c>
      <c r="M70" s="27">
        <v>78.822669172932365</v>
      </c>
      <c r="N70" s="27">
        <v>79.243500000000012</v>
      </c>
      <c r="O70" s="27">
        <v>103.22072387530055</v>
      </c>
      <c r="P70" s="27">
        <v>5110.8029999999999</v>
      </c>
      <c r="Q70" s="27">
        <v>4601.5079999999998</v>
      </c>
      <c r="R70" s="27">
        <v>679736.75199999975</v>
      </c>
      <c r="S70" s="27">
        <f t="shared" si="0"/>
        <v>0.13933628298821088</v>
      </c>
    </row>
    <row r="71" spans="1:19" x14ac:dyDescent="0.25">
      <c r="A71" s="19">
        <v>64</v>
      </c>
      <c r="B71" s="19" t="s">
        <v>384</v>
      </c>
      <c r="C71" s="19" t="s">
        <v>95</v>
      </c>
      <c r="D71" s="20" t="s">
        <v>1007</v>
      </c>
      <c r="E71" s="25" t="s">
        <v>393</v>
      </c>
      <c r="F71" s="25" t="s">
        <v>447</v>
      </c>
      <c r="G71" s="25" t="s">
        <v>96</v>
      </c>
      <c r="H71" s="26">
        <v>42210</v>
      </c>
      <c r="I71" s="25">
        <v>345</v>
      </c>
      <c r="J71" s="25" t="s">
        <v>448</v>
      </c>
      <c r="K71" s="27">
        <v>3073307.4279999998</v>
      </c>
      <c r="L71" s="25">
        <v>202</v>
      </c>
      <c r="M71" s="27">
        <v>45.243777227722795</v>
      </c>
      <c r="N71" s="27">
        <v>46.101749999999996</v>
      </c>
      <c r="O71" s="27">
        <v>61.045448862918605</v>
      </c>
      <c r="P71" s="27">
        <v>1701.9290000000001</v>
      </c>
      <c r="Q71" s="27">
        <v>1598.52</v>
      </c>
      <c r="R71" s="27">
        <v>343789.5920000003</v>
      </c>
      <c r="S71" s="27">
        <f t="shared" si="0"/>
        <v>0.11186306611171876</v>
      </c>
    </row>
    <row r="72" spans="1:19" x14ac:dyDescent="0.25">
      <c r="A72" s="19">
        <v>65</v>
      </c>
      <c r="B72" s="19" t="s">
        <v>384</v>
      </c>
      <c r="C72" s="19" t="s">
        <v>95</v>
      </c>
      <c r="D72" s="20" t="s">
        <v>1007</v>
      </c>
      <c r="E72" s="25" t="s">
        <v>393</v>
      </c>
      <c r="F72" s="25" t="s">
        <v>449</v>
      </c>
      <c r="G72" s="25" t="s">
        <v>96</v>
      </c>
      <c r="H72" s="26">
        <v>42202</v>
      </c>
      <c r="I72" s="25">
        <v>347</v>
      </c>
      <c r="J72" s="25" t="s">
        <v>138</v>
      </c>
      <c r="K72" s="27">
        <v>4571084.5060000001</v>
      </c>
      <c r="L72" s="25">
        <v>124</v>
      </c>
      <c r="M72" s="27">
        <v>54.942629032258075</v>
      </c>
      <c r="N72" s="27">
        <v>54.995000000000005</v>
      </c>
      <c r="O72" s="27">
        <v>82.350524504174075</v>
      </c>
      <c r="P72" s="27">
        <v>2643.1880000000001</v>
      </c>
      <c r="Q72" s="27">
        <v>2227.4735000000001</v>
      </c>
      <c r="R72" s="27">
        <v>327755.37100000004</v>
      </c>
      <c r="S72" s="27">
        <f t="shared" ref="S72:S135" si="1">R72/K72</f>
        <v>7.1701883999254173E-2</v>
      </c>
    </row>
    <row r="73" spans="1:19" x14ac:dyDescent="0.25">
      <c r="A73" s="19">
        <v>66</v>
      </c>
      <c r="B73" s="19" t="s">
        <v>384</v>
      </c>
      <c r="C73" s="19" t="s">
        <v>95</v>
      </c>
      <c r="D73" s="20" t="s">
        <v>1007</v>
      </c>
      <c r="E73" s="25" t="s">
        <v>393</v>
      </c>
      <c r="F73" s="25" t="s">
        <v>450</v>
      </c>
      <c r="G73" s="25" t="s">
        <v>97</v>
      </c>
      <c r="H73" s="26">
        <v>42219</v>
      </c>
      <c r="I73" s="25">
        <v>348</v>
      </c>
      <c r="J73" s="25" t="s">
        <v>344</v>
      </c>
      <c r="K73" s="27">
        <v>4457705.8969999999</v>
      </c>
      <c r="L73" s="25">
        <v>217</v>
      </c>
      <c r="M73" s="27">
        <v>76.825433179723518</v>
      </c>
      <c r="N73" s="27">
        <v>81.868499999999997</v>
      </c>
      <c r="O73" s="27">
        <v>108.67664155176337</v>
      </c>
      <c r="P73" s="27">
        <v>5180.1750000000002</v>
      </c>
      <c r="Q73" s="27">
        <v>4991.2479999999996</v>
      </c>
      <c r="R73" s="27">
        <v>1124097.8770000006</v>
      </c>
      <c r="S73" s="27">
        <f t="shared" si="1"/>
        <v>0.25216959193214372</v>
      </c>
    </row>
    <row r="74" spans="1:19" x14ac:dyDescent="0.25">
      <c r="A74" s="19">
        <v>67</v>
      </c>
      <c r="B74" s="19" t="s">
        <v>384</v>
      </c>
      <c r="C74" s="19" t="s">
        <v>95</v>
      </c>
      <c r="D74" s="20" t="s">
        <v>1007</v>
      </c>
      <c r="E74" s="25" t="s">
        <v>393</v>
      </c>
      <c r="F74" s="25" t="s">
        <v>451</v>
      </c>
      <c r="G74" s="25" t="s">
        <v>96</v>
      </c>
      <c r="H74" s="26">
        <v>42202</v>
      </c>
      <c r="I74" s="25">
        <v>349</v>
      </c>
      <c r="J74" s="25" t="s">
        <v>363</v>
      </c>
      <c r="K74" s="27">
        <v>4481114.6119999997</v>
      </c>
      <c r="L74" s="25">
        <v>272</v>
      </c>
      <c r="M74" s="27">
        <v>63.575507352941194</v>
      </c>
      <c r="N74" s="27">
        <v>64.516999999999996</v>
      </c>
      <c r="O74" s="27">
        <v>80.712309312485417</v>
      </c>
      <c r="P74" s="27">
        <v>3245.4560000000001</v>
      </c>
      <c r="Q74" s="27">
        <v>3035.3100000000004</v>
      </c>
      <c r="R74" s="27">
        <v>882764.12699999986</v>
      </c>
      <c r="S74" s="27">
        <f t="shared" si="1"/>
        <v>0.19699655184806952</v>
      </c>
    </row>
    <row r="75" spans="1:19" x14ac:dyDescent="0.25">
      <c r="A75" s="19">
        <v>68</v>
      </c>
      <c r="B75" s="19" t="s">
        <v>384</v>
      </c>
      <c r="C75" s="19" t="s">
        <v>95</v>
      </c>
      <c r="D75" s="20" t="s">
        <v>1007</v>
      </c>
      <c r="E75" s="25" t="s">
        <v>393</v>
      </c>
      <c r="F75" s="25" t="s">
        <v>452</v>
      </c>
      <c r="G75" s="25" t="s">
        <v>96</v>
      </c>
      <c r="H75" s="26">
        <v>42201</v>
      </c>
      <c r="I75" s="25">
        <v>350</v>
      </c>
      <c r="J75" s="25" t="s">
        <v>209</v>
      </c>
      <c r="K75" s="27">
        <v>4789747.9519999996</v>
      </c>
      <c r="L75" s="25">
        <v>81</v>
      </c>
      <c r="M75" s="27">
        <v>84.042092592592596</v>
      </c>
      <c r="N75" s="27">
        <v>84.150499999999994</v>
      </c>
      <c r="O75" s="27">
        <v>122.8690271651608</v>
      </c>
      <c r="P75" s="27">
        <v>6113.2269999999999</v>
      </c>
      <c r="Q75" s="27">
        <v>4863.357</v>
      </c>
      <c r="R75" s="27">
        <v>495171.41400000005</v>
      </c>
      <c r="S75" s="27">
        <f t="shared" si="1"/>
        <v>0.10338151797595885</v>
      </c>
    </row>
    <row r="76" spans="1:19" x14ac:dyDescent="0.25">
      <c r="A76" s="19">
        <v>69</v>
      </c>
      <c r="B76" s="19" t="s">
        <v>384</v>
      </c>
      <c r="C76" s="19" t="s">
        <v>95</v>
      </c>
      <c r="D76" s="20" t="s">
        <v>1007</v>
      </c>
      <c r="E76" s="25" t="s">
        <v>393</v>
      </c>
      <c r="F76" s="25" t="s">
        <v>453</v>
      </c>
      <c r="G76" s="25" t="s">
        <v>96</v>
      </c>
      <c r="H76" s="26">
        <v>42202</v>
      </c>
      <c r="I76" s="25">
        <v>351</v>
      </c>
      <c r="J76" s="25" t="s">
        <v>206</v>
      </c>
      <c r="K76" s="27">
        <v>4002057.267</v>
      </c>
      <c r="L76" s="25">
        <v>199</v>
      </c>
      <c r="M76" s="27">
        <v>69.503367223338898</v>
      </c>
      <c r="N76" s="27">
        <v>73.899000000000001</v>
      </c>
      <c r="O76" s="27">
        <v>88.227410238079301</v>
      </c>
      <c r="P76" s="27">
        <v>3967.5120000000002</v>
      </c>
      <c r="Q76" s="27">
        <v>4001.1026999999999</v>
      </c>
      <c r="R76" s="27">
        <v>139949.693</v>
      </c>
      <c r="S76" s="27">
        <f t="shared" si="1"/>
        <v>3.4969437882359018E-2</v>
      </c>
    </row>
    <row r="77" spans="1:19" x14ac:dyDescent="0.25">
      <c r="A77" s="19">
        <v>70</v>
      </c>
      <c r="B77" s="19" t="s">
        <v>384</v>
      </c>
      <c r="C77" s="19" t="s">
        <v>95</v>
      </c>
      <c r="D77" s="20" t="s">
        <v>1007</v>
      </c>
      <c r="E77" s="25" t="s">
        <v>393</v>
      </c>
      <c r="F77" s="25" t="s">
        <v>454</v>
      </c>
      <c r="G77" s="25" t="s">
        <v>96</v>
      </c>
      <c r="H77" s="26">
        <v>42217</v>
      </c>
      <c r="I77" s="25">
        <v>352</v>
      </c>
      <c r="J77" s="25" t="s">
        <v>206</v>
      </c>
      <c r="K77" s="27">
        <v>3665629.5359999998</v>
      </c>
      <c r="L77" s="25">
        <v>228</v>
      </c>
      <c r="M77" s="27">
        <v>68.621177631578931</v>
      </c>
      <c r="N77" s="27">
        <v>72.926999999999992</v>
      </c>
      <c r="O77" s="27">
        <v>86.353871547029215</v>
      </c>
      <c r="P77" s="27">
        <v>3829.4630000000002</v>
      </c>
      <c r="Q77" s="27">
        <v>3979.4395</v>
      </c>
      <c r="R77" s="27">
        <v>143934.74899999998</v>
      </c>
      <c r="S77" s="27">
        <f t="shared" si="1"/>
        <v>3.9266038094254371E-2</v>
      </c>
    </row>
    <row r="78" spans="1:19" x14ac:dyDescent="0.25">
      <c r="A78" s="19">
        <v>71</v>
      </c>
      <c r="B78" s="19" t="s">
        <v>384</v>
      </c>
      <c r="C78" s="19" t="s">
        <v>95</v>
      </c>
      <c r="D78" s="20" t="s">
        <v>1007</v>
      </c>
      <c r="E78" s="25" t="s">
        <v>393</v>
      </c>
      <c r="F78" s="25" t="s">
        <v>455</v>
      </c>
      <c r="G78" s="25" t="s">
        <v>96</v>
      </c>
      <c r="H78" s="26">
        <v>42201</v>
      </c>
      <c r="I78" s="25">
        <v>353</v>
      </c>
      <c r="J78" s="25" t="s">
        <v>155</v>
      </c>
      <c r="K78" s="27">
        <v>2700013.0690000001</v>
      </c>
      <c r="L78" s="25">
        <v>323</v>
      </c>
      <c r="M78" s="27">
        <v>33.643871517027861</v>
      </c>
      <c r="N78" s="27">
        <v>34.908000000000001</v>
      </c>
      <c r="O78" s="27">
        <v>40.470486481185489</v>
      </c>
      <c r="P78" s="27">
        <v>870.601</v>
      </c>
      <c r="Q78" s="27">
        <v>877.26700000000005</v>
      </c>
      <c r="R78" s="27">
        <v>281204.24099999998</v>
      </c>
      <c r="S78" s="27">
        <f t="shared" si="1"/>
        <v>0.10414921476811562</v>
      </c>
    </row>
    <row r="79" spans="1:19" x14ac:dyDescent="0.25">
      <c r="A79" s="19">
        <v>72</v>
      </c>
      <c r="B79" s="19" t="s">
        <v>384</v>
      </c>
      <c r="C79" s="19" t="s">
        <v>95</v>
      </c>
      <c r="D79" s="20" t="s">
        <v>1007</v>
      </c>
      <c r="E79" s="25" t="s">
        <v>393</v>
      </c>
      <c r="F79" s="25" t="s">
        <v>456</v>
      </c>
      <c r="G79" s="25" t="s">
        <v>96</v>
      </c>
      <c r="H79" s="26">
        <v>42220</v>
      </c>
      <c r="I79" s="25">
        <v>358</v>
      </c>
      <c r="J79" s="25" t="s">
        <v>161</v>
      </c>
      <c r="K79" s="27">
        <v>3280802.335</v>
      </c>
      <c r="L79" s="25">
        <v>134</v>
      </c>
      <c r="M79" s="27">
        <v>55.638152985074655</v>
      </c>
      <c r="N79" s="27">
        <v>60.371499999999997</v>
      </c>
      <c r="O79" s="27">
        <v>76.103267491863107</v>
      </c>
      <c r="P79" s="27">
        <v>2609.4260298507465</v>
      </c>
      <c r="Q79" s="27">
        <v>2695.1594999999998</v>
      </c>
      <c r="R79" s="27">
        <v>349663.08800000005</v>
      </c>
      <c r="S79" s="27">
        <f t="shared" si="1"/>
        <v>0.10657852936452511</v>
      </c>
    </row>
    <row r="80" spans="1:19" x14ac:dyDescent="0.25">
      <c r="A80" s="19">
        <v>73</v>
      </c>
      <c r="B80" s="19" t="s">
        <v>384</v>
      </c>
      <c r="C80" s="19" t="s">
        <v>95</v>
      </c>
      <c r="D80" s="20" t="s">
        <v>1007</v>
      </c>
      <c r="E80" s="25" t="s">
        <v>393</v>
      </c>
      <c r="F80" s="25" t="s">
        <v>421</v>
      </c>
      <c r="G80" s="25" t="s">
        <v>96</v>
      </c>
      <c r="H80" s="26">
        <v>42200</v>
      </c>
      <c r="I80" s="25">
        <v>2605</v>
      </c>
      <c r="J80" s="25" t="s">
        <v>301</v>
      </c>
      <c r="K80" s="27">
        <v>6722090.5970000001</v>
      </c>
      <c r="L80" s="25">
        <v>197</v>
      </c>
      <c r="M80" s="27">
        <v>47.263545685279198</v>
      </c>
      <c r="N80" s="27">
        <v>49.978499999999997</v>
      </c>
      <c r="O80" s="27">
        <v>64.638418236892804</v>
      </c>
      <c r="P80" s="27">
        <v>1897.5820000000001</v>
      </c>
      <c r="Q80" s="27">
        <v>1902.028</v>
      </c>
      <c r="R80" s="27">
        <v>373823.65799999965</v>
      </c>
      <c r="S80" s="27">
        <f t="shared" si="1"/>
        <v>5.5611219843843415E-2</v>
      </c>
    </row>
    <row r="81" spans="1:19" x14ac:dyDescent="0.25">
      <c r="A81" s="19">
        <v>74</v>
      </c>
      <c r="B81" s="19" t="s">
        <v>59</v>
      </c>
      <c r="C81" s="19" t="s">
        <v>98</v>
      </c>
      <c r="D81" s="19" t="s">
        <v>99</v>
      </c>
      <c r="E81" s="25" t="s">
        <v>100</v>
      </c>
      <c r="F81" s="25" t="s">
        <v>478</v>
      </c>
      <c r="G81" s="25" t="s">
        <v>97</v>
      </c>
      <c r="H81" s="26">
        <v>42310</v>
      </c>
      <c r="I81" s="25">
        <v>13</v>
      </c>
      <c r="J81" s="25" t="s">
        <v>231</v>
      </c>
      <c r="K81" s="27">
        <v>4326333.87</v>
      </c>
      <c r="L81" s="25">
        <v>110</v>
      </c>
      <c r="M81" s="27">
        <v>57.689854545454573</v>
      </c>
      <c r="N81" s="27">
        <v>58.770499999999998</v>
      </c>
      <c r="O81" s="27">
        <v>77.333510059105564</v>
      </c>
      <c r="P81" s="27">
        <v>2795.973</v>
      </c>
      <c r="Q81" s="27">
        <v>2666.8069999999998</v>
      </c>
      <c r="R81" s="27">
        <v>307557.00099999993</v>
      </c>
      <c r="S81" s="27">
        <f t="shared" si="1"/>
        <v>7.1089520652274557E-2</v>
      </c>
    </row>
    <row r="82" spans="1:19" x14ac:dyDescent="0.25">
      <c r="A82" s="19">
        <v>75</v>
      </c>
      <c r="B82" s="19" t="s">
        <v>59</v>
      </c>
      <c r="C82" s="19" t="s">
        <v>98</v>
      </c>
      <c r="D82" s="19" t="s">
        <v>99</v>
      </c>
      <c r="E82" s="25" t="s">
        <v>100</v>
      </c>
      <c r="F82" s="25" t="s">
        <v>479</v>
      </c>
      <c r="G82" s="25" t="s">
        <v>96</v>
      </c>
      <c r="H82" s="26">
        <v>42310</v>
      </c>
      <c r="I82" s="25">
        <v>13</v>
      </c>
      <c r="J82" s="25" t="s">
        <v>231</v>
      </c>
      <c r="K82" s="27">
        <v>4932710.4479999999</v>
      </c>
      <c r="L82" s="25">
        <v>96</v>
      </c>
      <c r="M82" s="27">
        <v>70.221718750000036</v>
      </c>
      <c r="N82" s="27">
        <v>71.260249999999999</v>
      </c>
      <c r="O82" s="27">
        <v>101.70667078086448</v>
      </c>
      <c r="P82" s="27">
        <v>4227.8919999999998</v>
      </c>
      <c r="Q82" s="27">
        <v>3730.7754999999997</v>
      </c>
      <c r="R82" s="27">
        <v>405877.61799999996</v>
      </c>
      <c r="S82" s="27">
        <f t="shared" si="1"/>
        <v>8.228287921594217E-2</v>
      </c>
    </row>
    <row r="83" spans="1:19" x14ac:dyDescent="0.25">
      <c r="A83" s="19">
        <v>76</v>
      </c>
      <c r="B83" s="19" t="s">
        <v>59</v>
      </c>
      <c r="C83" s="19" t="s">
        <v>98</v>
      </c>
      <c r="D83" s="19" t="s">
        <v>99</v>
      </c>
      <c r="E83" s="25" t="s">
        <v>100</v>
      </c>
      <c r="F83" s="25" t="s">
        <v>521</v>
      </c>
      <c r="G83" s="25" t="s">
        <v>96</v>
      </c>
      <c r="H83" s="26">
        <v>42301</v>
      </c>
      <c r="I83" s="25">
        <v>24</v>
      </c>
      <c r="J83" s="25" t="s">
        <v>334</v>
      </c>
      <c r="K83" s="27">
        <v>5145868.9819999998</v>
      </c>
      <c r="L83" s="25">
        <v>156</v>
      </c>
      <c r="M83" s="27">
        <v>63.67934615384614</v>
      </c>
      <c r="N83" s="27">
        <v>71.029499999999999</v>
      </c>
      <c r="O83" s="27">
        <v>98.440001532297046</v>
      </c>
      <c r="P83" s="27">
        <v>3938.1210000000001</v>
      </c>
      <c r="Q83" s="27">
        <v>3825.5264999999999</v>
      </c>
      <c r="R83" s="27">
        <v>614346.88899999973</v>
      </c>
      <c r="S83" s="27">
        <f t="shared" si="1"/>
        <v>0.11938642261374227</v>
      </c>
    </row>
    <row r="84" spans="1:19" x14ac:dyDescent="0.25">
      <c r="A84" s="19">
        <v>77</v>
      </c>
      <c r="B84" s="19" t="s">
        <v>59</v>
      </c>
      <c r="C84" s="19" t="s">
        <v>98</v>
      </c>
      <c r="D84" s="19" t="s">
        <v>99</v>
      </c>
      <c r="E84" s="25" t="s">
        <v>100</v>
      </c>
      <c r="F84" s="25" t="s">
        <v>520</v>
      </c>
      <c r="G84" s="25" t="s">
        <v>97</v>
      </c>
      <c r="H84" s="26">
        <v>42301</v>
      </c>
      <c r="I84" s="25">
        <v>24</v>
      </c>
      <c r="J84" s="25" t="s">
        <v>334</v>
      </c>
      <c r="K84" s="27">
        <v>4244524.4929999998</v>
      </c>
      <c r="L84" s="25">
        <v>113</v>
      </c>
      <c r="M84" s="27">
        <v>70.113292035398217</v>
      </c>
      <c r="N84" s="27">
        <v>73.097499999999997</v>
      </c>
      <c r="O84" s="27">
        <v>94.333554431532733</v>
      </c>
      <c r="P84" s="27">
        <v>4177.4480000000003</v>
      </c>
      <c r="Q84" s="27">
        <v>3850.732</v>
      </c>
      <c r="R84" s="27">
        <v>472051.6230000002</v>
      </c>
      <c r="S84" s="27">
        <f t="shared" si="1"/>
        <v>0.11121425351143573</v>
      </c>
    </row>
    <row r="85" spans="1:19" x14ac:dyDescent="0.25">
      <c r="A85" s="19">
        <v>78</v>
      </c>
      <c r="B85" s="19" t="s">
        <v>59</v>
      </c>
      <c r="C85" s="19" t="s">
        <v>98</v>
      </c>
      <c r="D85" s="19" t="s">
        <v>99</v>
      </c>
      <c r="E85" s="25" t="s">
        <v>100</v>
      </c>
      <c r="F85" s="25" t="s">
        <v>570</v>
      </c>
      <c r="G85" s="25" t="s">
        <v>96</v>
      </c>
      <c r="H85" s="26">
        <v>42310</v>
      </c>
      <c r="I85" s="25">
        <v>70</v>
      </c>
      <c r="J85" s="25" t="s">
        <v>373</v>
      </c>
      <c r="K85" s="27">
        <v>4491202.1279999996</v>
      </c>
      <c r="L85" s="25">
        <v>291</v>
      </c>
      <c r="M85" s="27">
        <v>49.869450171821313</v>
      </c>
      <c r="N85" s="27">
        <v>51.458500000000001</v>
      </c>
      <c r="O85" s="27">
        <v>63.860239459740406</v>
      </c>
      <c r="P85" s="27">
        <v>2002.2729999999999</v>
      </c>
      <c r="Q85" s="27">
        <v>1942.1690000000001</v>
      </c>
      <c r="R85" s="27">
        <v>582661.43899999955</v>
      </c>
      <c r="S85" s="27">
        <f t="shared" si="1"/>
        <v>0.12973396039502402</v>
      </c>
    </row>
    <row r="86" spans="1:19" x14ac:dyDescent="0.25">
      <c r="A86" s="19">
        <v>79</v>
      </c>
      <c r="B86" s="19" t="s">
        <v>59</v>
      </c>
      <c r="C86" s="19" t="s">
        <v>98</v>
      </c>
      <c r="D86" s="19" t="s">
        <v>99</v>
      </c>
      <c r="E86" s="25" t="s">
        <v>100</v>
      </c>
      <c r="F86" s="25" t="s">
        <v>571</v>
      </c>
      <c r="G86" s="25" t="s">
        <v>97</v>
      </c>
      <c r="H86" s="26">
        <v>42301</v>
      </c>
      <c r="I86" s="25">
        <v>75</v>
      </c>
      <c r="J86" s="25" t="s">
        <v>208</v>
      </c>
      <c r="K86" s="27">
        <v>4806299.5640000002</v>
      </c>
      <c r="L86" s="25">
        <v>275</v>
      </c>
      <c r="M86" s="27">
        <v>60.423054545454598</v>
      </c>
      <c r="N86" s="27">
        <v>60.054500000000004</v>
      </c>
      <c r="O86" s="27">
        <v>74.358525497300491</v>
      </c>
      <c r="P86" s="27">
        <v>2860.0569999999998</v>
      </c>
      <c r="Q86" s="27">
        <v>2651.404</v>
      </c>
      <c r="R86" s="27">
        <v>786515.66099999996</v>
      </c>
      <c r="S86" s="27">
        <f t="shared" si="1"/>
        <v>0.16364266324370119</v>
      </c>
    </row>
    <row r="87" spans="1:19" x14ac:dyDescent="0.25">
      <c r="A87" s="19">
        <v>80</v>
      </c>
      <c r="B87" s="19" t="s">
        <v>59</v>
      </c>
      <c r="C87" s="19" t="s">
        <v>98</v>
      </c>
      <c r="D87" s="19" t="s">
        <v>99</v>
      </c>
      <c r="E87" s="25" t="s">
        <v>100</v>
      </c>
      <c r="F87" s="25" t="s">
        <v>473</v>
      </c>
      <c r="G87" s="25" t="s">
        <v>97</v>
      </c>
      <c r="H87" s="26">
        <v>42305</v>
      </c>
      <c r="I87" s="25">
        <v>113</v>
      </c>
      <c r="J87" s="25" t="s">
        <v>381</v>
      </c>
      <c r="K87" s="27">
        <v>4874941.3059999999</v>
      </c>
      <c r="L87" s="25">
        <v>87</v>
      </c>
      <c r="M87" s="27">
        <v>110.37319540229883</v>
      </c>
      <c r="N87" s="27">
        <v>112.6865</v>
      </c>
      <c r="O87" s="27">
        <v>142.0623883769058</v>
      </c>
      <c r="P87" s="27">
        <v>10003.066000000001</v>
      </c>
      <c r="Q87" s="27">
        <v>9732.3160000000007</v>
      </c>
      <c r="R87" s="27">
        <v>870266.74899999984</v>
      </c>
      <c r="S87" s="27">
        <f t="shared" si="1"/>
        <v>0.17851840553011161</v>
      </c>
    </row>
    <row r="88" spans="1:19" x14ac:dyDescent="0.25">
      <c r="A88" s="19">
        <v>81</v>
      </c>
      <c r="B88" s="19" t="s">
        <v>59</v>
      </c>
      <c r="C88" s="19" t="s">
        <v>98</v>
      </c>
      <c r="D88" s="19" t="s">
        <v>99</v>
      </c>
      <c r="E88" s="25" t="s">
        <v>100</v>
      </c>
      <c r="F88" s="25" t="s">
        <v>474</v>
      </c>
      <c r="G88" s="25" t="s">
        <v>97</v>
      </c>
      <c r="H88" s="26">
        <v>42301</v>
      </c>
      <c r="I88" s="25">
        <v>133</v>
      </c>
      <c r="J88" s="25" t="s">
        <v>247</v>
      </c>
      <c r="K88" s="27">
        <v>5830500.3619999997</v>
      </c>
      <c r="L88" s="25">
        <v>182</v>
      </c>
      <c r="M88" s="27">
        <v>76.433258241758253</v>
      </c>
      <c r="N88" s="27">
        <v>79.883499999999998</v>
      </c>
      <c r="O88" s="27">
        <v>88.586663054042774</v>
      </c>
      <c r="P88" s="27">
        <v>4611.9629999999997</v>
      </c>
      <c r="Q88" s="27">
        <v>4815.2819999999992</v>
      </c>
      <c r="R88" s="27">
        <v>839377.34700000018</v>
      </c>
      <c r="S88" s="27">
        <f t="shared" si="1"/>
        <v>0.14396317552273916</v>
      </c>
    </row>
    <row r="89" spans="1:19" x14ac:dyDescent="0.25">
      <c r="A89" s="19">
        <v>82</v>
      </c>
      <c r="B89" s="19" t="s">
        <v>59</v>
      </c>
      <c r="C89" s="19" t="s">
        <v>98</v>
      </c>
      <c r="D89" s="19" t="s">
        <v>99</v>
      </c>
      <c r="E89" s="25" t="s">
        <v>100</v>
      </c>
      <c r="F89" s="25" t="s">
        <v>475</v>
      </c>
      <c r="G89" s="25" t="s">
        <v>96</v>
      </c>
      <c r="H89" s="26">
        <v>42300</v>
      </c>
      <c r="I89" s="25">
        <v>135</v>
      </c>
      <c r="J89" s="25" t="s">
        <v>255</v>
      </c>
      <c r="K89" s="27">
        <v>4577184.7649999997</v>
      </c>
      <c r="L89" s="25">
        <v>118</v>
      </c>
      <c r="M89" s="27">
        <v>69.181203389830472</v>
      </c>
      <c r="N89" s="27">
        <v>72.239000000000004</v>
      </c>
      <c r="O89" s="27">
        <v>84.527762536687177</v>
      </c>
      <c r="P89" s="27">
        <v>3875.64</v>
      </c>
      <c r="Q89" s="27">
        <v>3936.3815</v>
      </c>
      <c r="R89" s="27">
        <v>457325.49399999995</v>
      </c>
      <c r="S89" s="27">
        <f t="shared" si="1"/>
        <v>9.9914143186221147E-2</v>
      </c>
    </row>
    <row r="90" spans="1:19" x14ac:dyDescent="0.25">
      <c r="A90" s="19">
        <v>83</v>
      </c>
      <c r="B90" s="19" t="s">
        <v>59</v>
      </c>
      <c r="C90" s="19" t="s">
        <v>98</v>
      </c>
      <c r="D90" s="19" t="s">
        <v>99</v>
      </c>
      <c r="E90" s="25" t="s">
        <v>100</v>
      </c>
      <c r="F90" s="25" t="s">
        <v>477</v>
      </c>
      <c r="G90" s="25" t="s">
        <v>96</v>
      </c>
      <c r="H90" s="26">
        <v>42300</v>
      </c>
      <c r="I90" s="25">
        <v>138</v>
      </c>
      <c r="J90" s="25" t="s">
        <v>145</v>
      </c>
      <c r="K90" s="27">
        <v>4345510.7470000004</v>
      </c>
      <c r="L90" s="25">
        <v>227</v>
      </c>
      <c r="M90" s="27">
        <v>49.156389867841426</v>
      </c>
      <c r="N90" s="27">
        <v>48.834000000000003</v>
      </c>
      <c r="O90" s="27">
        <v>69.062574581602917</v>
      </c>
      <c r="P90" s="27">
        <v>2044.2929999999999</v>
      </c>
      <c r="Q90" s="27">
        <v>1693.3879999999999</v>
      </c>
      <c r="R90" s="27">
        <v>464054.46599999996</v>
      </c>
      <c r="S90" s="27">
        <f t="shared" si="1"/>
        <v>0.10678939554351996</v>
      </c>
    </row>
    <row r="91" spans="1:19" x14ac:dyDescent="0.25">
      <c r="A91" s="19">
        <v>84</v>
      </c>
      <c r="B91" s="19" t="s">
        <v>59</v>
      </c>
      <c r="C91" s="19" t="s">
        <v>98</v>
      </c>
      <c r="D91" s="19" t="s">
        <v>99</v>
      </c>
      <c r="E91" s="25" t="s">
        <v>100</v>
      </c>
      <c r="F91" s="25" t="s">
        <v>476</v>
      </c>
      <c r="G91" s="25" t="s">
        <v>97</v>
      </c>
      <c r="H91" s="26">
        <v>42301</v>
      </c>
      <c r="I91" s="25">
        <v>138</v>
      </c>
      <c r="J91" s="25" t="s">
        <v>145</v>
      </c>
      <c r="K91" s="27">
        <v>3814916.1009999998</v>
      </c>
      <c r="L91" s="25">
        <v>191</v>
      </c>
      <c r="M91" s="27">
        <v>44.821824607329859</v>
      </c>
      <c r="N91" s="27">
        <v>44.091999999999999</v>
      </c>
      <c r="O91" s="27">
        <v>56.857903496012412</v>
      </c>
      <c r="P91" s="27">
        <v>1599.0730000000001</v>
      </c>
      <c r="Q91" s="27">
        <v>1422.67</v>
      </c>
      <c r="R91" s="27">
        <v>305422.99700000021</v>
      </c>
      <c r="S91" s="27">
        <f t="shared" si="1"/>
        <v>8.0060213360901966E-2</v>
      </c>
    </row>
    <row r="92" spans="1:19" x14ac:dyDescent="0.25">
      <c r="A92" s="19">
        <v>85</v>
      </c>
      <c r="B92" s="19" t="s">
        <v>59</v>
      </c>
      <c r="C92" s="19" t="s">
        <v>98</v>
      </c>
      <c r="D92" s="19" t="s">
        <v>99</v>
      </c>
      <c r="E92" s="25" t="s">
        <v>100</v>
      </c>
      <c r="F92" s="25" t="s">
        <v>480</v>
      </c>
      <c r="G92" s="25" t="s">
        <v>96</v>
      </c>
      <c r="H92" s="26">
        <v>42311</v>
      </c>
      <c r="I92" s="25">
        <v>141</v>
      </c>
      <c r="J92" s="25" t="s">
        <v>247</v>
      </c>
      <c r="K92" s="27">
        <v>4508046.3949999996</v>
      </c>
      <c r="L92" s="25">
        <v>207</v>
      </c>
      <c r="M92" s="27">
        <v>65.096335748792271</v>
      </c>
      <c r="N92" s="27">
        <v>64.496000000000009</v>
      </c>
      <c r="O92" s="27">
        <v>82.141793050833044</v>
      </c>
      <c r="P92" s="27">
        <v>3439.1849999999999</v>
      </c>
      <c r="Q92" s="27">
        <v>3130.5279999999998</v>
      </c>
      <c r="R92" s="27">
        <v>711911.36199999996</v>
      </c>
      <c r="S92" s="27">
        <f t="shared" si="1"/>
        <v>0.15792014979916816</v>
      </c>
    </row>
    <row r="93" spans="1:19" x14ac:dyDescent="0.25">
      <c r="A93" s="19">
        <v>86</v>
      </c>
      <c r="B93" s="19" t="s">
        <v>59</v>
      </c>
      <c r="C93" s="19" t="s">
        <v>98</v>
      </c>
      <c r="D93" s="19" t="s">
        <v>99</v>
      </c>
      <c r="E93" s="25" t="s">
        <v>100</v>
      </c>
      <c r="F93" s="25" t="s">
        <v>481</v>
      </c>
      <c r="G93" s="25" t="s">
        <v>97</v>
      </c>
      <c r="H93" s="26">
        <v>42307</v>
      </c>
      <c r="I93" s="25">
        <v>149</v>
      </c>
      <c r="J93" s="25" t="s">
        <v>350</v>
      </c>
      <c r="K93" s="27">
        <v>3633983.99</v>
      </c>
      <c r="L93" s="25">
        <v>102</v>
      </c>
      <c r="M93" s="27">
        <v>63.598328430000002</v>
      </c>
      <c r="N93" s="27">
        <v>60.607500000000002</v>
      </c>
      <c r="O93" s="27">
        <v>96.270583729999998</v>
      </c>
      <c r="P93" s="27">
        <v>3688.36</v>
      </c>
      <c r="Q93" s="27">
        <v>2821.4189999999999</v>
      </c>
      <c r="R93" s="27">
        <v>376212.75099999999</v>
      </c>
      <c r="S93" s="27">
        <f t="shared" si="1"/>
        <v>0.10352625439057038</v>
      </c>
    </row>
    <row r="94" spans="1:19" x14ac:dyDescent="0.25">
      <c r="A94" s="19">
        <v>87</v>
      </c>
      <c r="B94" s="19" t="s">
        <v>59</v>
      </c>
      <c r="C94" s="19" t="s">
        <v>98</v>
      </c>
      <c r="D94" s="19" t="s">
        <v>99</v>
      </c>
      <c r="E94" s="25" t="s">
        <v>100</v>
      </c>
      <c r="F94" s="25" t="s">
        <v>482</v>
      </c>
      <c r="G94" s="25" t="s">
        <v>97</v>
      </c>
      <c r="H94" s="26">
        <v>42307</v>
      </c>
      <c r="I94" s="25">
        <v>153</v>
      </c>
      <c r="J94" s="25" t="s">
        <v>336</v>
      </c>
      <c r="K94" s="27">
        <v>3299233.1209999998</v>
      </c>
      <c r="L94" s="25">
        <v>124</v>
      </c>
      <c r="M94" s="27">
        <v>65.260774193548386</v>
      </c>
      <c r="N94" s="27">
        <v>71.762</v>
      </c>
      <c r="O94" s="27">
        <v>78.888699958186251</v>
      </c>
      <c r="P94" s="27">
        <v>3478.7330000000002</v>
      </c>
      <c r="Q94" s="27">
        <v>3728.442</v>
      </c>
      <c r="R94" s="27">
        <v>431362.924</v>
      </c>
      <c r="S94" s="27">
        <f t="shared" si="1"/>
        <v>0.13074642141967027</v>
      </c>
    </row>
    <row r="95" spans="1:19" x14ac:dyDescent="0.25">
      <c r="A95" s="19">
        <v>88</v>
      </c>
      <c r="B95" s="19" t="s">
        <v>59</v>
      </c>
      <c r="C95" s="19" t="s">
        <v>98</v>
      </c>
      <c r="D95" s="19" t="s">
        <v>99</v>
      </c>
      <c r="E95" s="25" t="s">
        <v>100</v>
      </c>
      <c r="F95" s="25" t="s">
        <v>483</v>
      </c>
      <c r="G95" s="25" t="s">
        <v>97</v>
      </c>
      <c r="H95" s="26">
        <v>42301</v>
      </c>
      <c r="I95" s="25">
        <v>165</v>
      </c>
      <c r="J95" s="25" t="s">
        <v>166</v>
      </c>
      <c r="K95" s="27">
        <v>1334900.6980000001</v>
      </c>
      <c r="L95" s="25">
        <v>134</v>
      </c>
      <c r="M95" s="27">
        <v>55.361440298507496</v>
      </c>
      <c r="N95" s="27">
        <v>54.000500000000002</v>
      </c>
      <c r="O95" s="27">
        <v>75.599921492902823</v>
      </c>
      <c r="P95" s="27">
        <v>2446.8780000000002</v>
      </c>
      <c r="Q95" s="27">
        <v>2064.2255</v>
      </c>
      <c r="R95" s="27">
        <v>327881.63299999991</v>
      </c>
      <c r="S95" s="27">
        <f t="shared" si="1"/>
        <v>0.24562248974118064</v>
      </c>
    </row>
    <row r="96" spans="1:19" x14ac:dyDescent="0.25">
      <c r="A96" s="19">
        <v>89</v>
      </c>
      <c r="B96" s="19" t="s">
        <v>59</v>
      </c>
      <c r="C96" s="19" t="s">
        <v>98</v>
      </c>
      <c r="D96" s="19" t="s">
        <v>99</v>
      </c>
      <c r="E96" s="25" t="s">
        <v>100</v>
      </c>
      <c r="F96" s="25" t="s">
        <v>484</v>
      </c>
      <c r="G96" s="25" t="s">
        <v>97</v>
      </c>
      <c r="H96" s="26">
        <v>42300</v>
      </c>
      <c r="I96" s="25">
        <v>166</v>
      </c>
      <c r="J96" s="25" t="s">
        <v>313</v>
      </c>
      <c r="K96" s="27">
        <v>4702855.3760000002</v>
      </c>
      <c r="L96" s="25">
        <v>275</v>
      </c>
      <c r="M96" s="27">
        <v>54.565070909090892</v>
      </c>
      <c r="N96" s="27">
        <v>54.598999999999997</v>
      </c>
      <c r="O96" s="27">
        <v>74.557499142255722</v>
      </c>
      <c r="P96" s="27">
        <v>2476.165</v>
      </c>
      <c r="Q96" s="27">
        <v>2174.1460000000002</v>
      </c>
      <c r="R96" s="27">
        <v>680945.41400000022</v>
      </c>
      <c r="S96" s="27">
        <f t="shared" si="1"/>
        <v>0.14479403671970376</v>
      </c>
    </row>
    <row r="97" spans="1:19" x14ac:dyDescent="0.25">
      <c r="A97" s="19">
        <v>90</v>
      </c>
      <c r="B97" s="19" t="s">
        <v>59</v>
      </c>
      <c r="C97" s="19" t="s">
        <v>98</v>
      </c>
      <c r="D97" s="19" t="s">
        <v>99</v>
      </c>
      <c r="E97" s="25" t="s">
        <v>100</v>
      </c>
      <c r="F97" s="25" t="s">
        <v>485</v>
      </c>
      <c r="G97" s="25" t="s">
        <v>97</v>
      </c>
      <c r="H97" s="26">
        <v>42307</v>
      </c>
      <c r="I97" s="25">
        <v>168</v>
      </c>
      <c r="J97" s="25" t="s">
        <v>352</v>
      </c>
      <c r="K97" s="27">
        <v>3603398.2119999998</v>
      </c>
      <c r="L97" s="25">
        <v>104</v>
      </c>
      <c r="M97" s="27">
        <v>64.78028846153849</v>
      </c>
      <c r="N97" s="27">
        <v>63.973500000000001</v>
      </c>
      <c r="O97" s="27">
        <v>83.847387273432403</v>
      </c>
      <c r="P97" s="27">
        <v>3462.86</v>
      </c>
      <c r="Q97" s="27">
        <v>3070.6669999999999</v>
      </c>
      <c r="R97" s="27">
        <v>360137.4629999997</v>
      </c>
      <c r="S97" s="27">
        <f t="shared" si="1"/>
        <v>9.9943842398731733E-2</v>
      </c>
    </row>
    <row r="98" spans="1:19" x14ac:dyDescent="0.25">
      <c r="A98" s="19">
        <v>91</v>
      </c>
      <c r="B98" s="19" t="s">
        <v>59</v>
      </c>
      <c r="C98" s="19" t="s">
        <v>98</v>
      </c>
      <c r="D98" s="19" t="s">
        <v>99</v>
      </c>
      <c r="E98" s="25" t="s">
        <v>100</v>
      </c>
      <c r="F98" s="25" t="s">
        <v>486</v>
      </c>
      <c r="G98" s="25" t="s">
        <v>96</v>
      </c>
      <c r="H98" s="26">
        <v>42307</v>
      </c>
      <c r="I98" s="25">
        <v>168</v>
      </c>
      <c r="J98" s="25" t="s">
        <v>352</v>
      </c>
      <c r="K98" s="27">
        <v>3794906.2990000001</v>
      </c>
      <c r="L98" s="25">
        <v>79</v>
      </c>
      <c r="M98" s="27">
        <v>67.120683544303802</v>
      </c>
      <c r="N98" s="27">
        <v>73.816499999999991</v>
      </c>
      <c r="O98" s="27">
        <v>82.37344819871231</v>
      </c>
      <c r="P98" s="27">
        <v>3644.39</v>
      </c>
      <c r="Q98" s="27">
        <v>3894.14</v>
      </c>
      <c r="R98" s="27">
        <v>287906.83499999996</v>
      </c>
      <c r="S98" s="27">
        <f t="shared" si="1"/>
        <v>7.5866651852739192E-2</v>
      </c>
    </row>
    <row r="99" spans="1:19" x14ac:dyDescent="0.25">
      <c r="A99" s="19">
        <v>92</v>
      </c>
      <c r="B99" s="19" t="s">
        <v>59</v>
      </c>
      <c r="C99" s="19" t="s">
        <v>98</v>
      </c>
      <c r="D99" s="19" t="s">
        <v>99</v>
      </c>
      <c r="E99" s="25" t="s">
        <v>100</v>
      </c>
      <c r="F99" s="25" t="s">
        <v>487</v>
      </c>
      <c r="G99" s="25" t="s">
        <v>96</v>
      </c>
      <c r="H99" s="26">
        <v>42300</v>
      </c>
      <c r="I99" s="25">
        <v>169</v>
      </c>
      <c r="J99" s="25" t="s">
        <v>331</v>
      </c>
      <c r="K99" s="27">
        <v>3918889.8220000002</v>
      </c>
      <c r="L99" s="25">
        <v>128</v>
      </c>
      <c r="M99" s="27">
        <v>52.440937500000018</v>
      </c>
      <c r="N99" s="27">
        <v>53.659500000000001</v>
      </c>
      <c r="O99" s="27">
        <v>62.045228648494373</v>
      </c>
      <c r="P99" s="27">
        <v>2182.165</v>
      </c>
      <c r="Q99" s="27">
        <v>2075.3109999999997</v>
      </c>
      <c r="R99" s="27">
        <v>279317.13800000015</v>
      </c>
      <c r="S99" s="27">
        <f t="shared" si="1"/>
        <v>7.1274557511660536E-2</v>
      </c>
    </row>
    <row r="100" spans="1:19" x14ac:dyDescent="0.25">
      <c r="A100" s="19">
        <v>93</v>
      </c>
      <c r="B100" s="19" t="s">
        <v>59</v>
      </c>
      <c r="C100" s="19" t="s">
        <v>98</v>
      </c>
      <c r="D100" s="19" t="s">
        <v>99</v>
      </c>
      <c r="E100" s="25" t="s">
        <v>100</v>
      </c>
      <c r="F100" s="25" t="s">
        <v>493</v>
      </c>
      <c r="G100" s="25" t="s">
        <v>97</v>
      </c>
      <c r="H100" s="26">
        <v>42305</v>
      </c>
      <c r="I100" s="25">
        <v>190</v>
      </c>
      <c r="J100" s="25" t="s">
        <v>181</v>
      </c>
      <c r="K100" s="27">
        <v>3617479.5210000002</v>
      </c>
      <c r="L100" s="25">
        <v>188</v>
      </c>
      <c r="M100" s="27">
        <v>53.001747340425531</v>
      </c>
      <c r="N100" s="27">
        <v>56.774499999999996</v>
      </c>
      <c r="O100" s="27">
        <v>68.286623285449508</v>
      </c>
      <c r="P100" s="27">
        <v>2366.2359999999999</v>
      </c>
      <c r="Q100" s="27">
        <v>2476.7205000000004</v>
      </c>
      <c r="R100" s="27">
        <v>444852.38800000009</v>
      </c>
      <c r="S100" s="27">
        <f t="shared" si="1"/>
        <v>0.12297302180083304</v>
      </c>
    </row>
    <row r="101" spans="1:19" x14ac:dyDescent="0.25">
      <c r="A101" s="19">
        <v>94</v>
      </c>
      <c r="B101" s="19" t="s">
        <v>59</v>
      </c>
      <c r="C101" s="19" t="s">
        <v>98</v>
      </c>
      <c r="D101" s="19" t="s">
        <v>99</v>
      </c>
      <c r="E101" s="25" t="s">
        <v>100</v>
      </c>
      <c r="F101" s="25" t="s">
        <v>494</v>
      </c>
      <c r="G101" s="25" t="s">
        <v>97</v>
      </c>
      <c r="H101" s="26">
        <v>42308</v>
      </c>
      <c r="I101" s="25">
        <v>202</v>
      </c>
      <c r="J101" s="25" t="s">
        <v>281</v>
      </c>
      <c r="K101" s="27">
        <v>4234644.216</v>
      </c>
      <c r="L101" s="25">
        <v>198</v>
      </c>
      <c r="M101" s="27">
        <v>75.756143939393908</v>
      </c>
      <c r="N101" s="27">
        <v>79.66525</v>
      </c>
      <c r="O101" s="27">
        <v>94.294119997882333</v>
      </c>
      <c r="P101" s="27">
        <v>4627.2529999999997</v>
      </c>
      <c r="Q101" s="27">
        <v>4735</v>
      </c>
      <c r="R101" s="27">
        <v>916196.17000000016</v>
      </c>
      <c r="S101" s="27">
        <f t="shared" si="1"/>
        <v>0.21635729550508245</v>
      </c>
    </row>
    <row r="102" spans="1:19" x14ac:dyDescent="0.25">
      <c r="A102" s="19">
        <v>95</v>
      </c>
      <c r="B102" s="19" t="s">
        <v>59</v>
      </c>
      <c r="C102" s="19" t="s">
        <v>98</v>
      </c>
      <c r="D102" s="19" t="s">
        <v>99</v>
      </c>
      <c r="E102" s="25" t="s">
        <v>100</v>
      </c>
      <c r="F102" s="25" t="s">
        <v>495</v>
      </c>
      <c r="G102" s="25" t="s">
        <v>96</v>
      </c>
      <c r="H102" s="26">
        <v>42304</v>
      </c>
      <c r="I102" s="25">
        <v>208</v>
      </c>
      <c r="J102" s="25" t="s">
        <v>355</v>
      </c>
      <c r="K102" s="27">
        <v>4333629.49</v>
      </c>
      <c r="L102" s="25">
        <v>153</v>
      </c>
      <c r="M102" s="27">
        <v>57.625679738562077</v>
      </c>
      <c r="N102" s="27">
        <v>62.908999999999992</v>
      </c>
      <c r="O102" s="27">
        <v>74.840911940186515</v>
      </c>
      <c r="P102" s="27">
        <v>57.625679738562077</v>
      </c>
      <c r="Q102" s="27">
        <v>2940.3249999999998</v>
      </c>
      <c r="R102" s="27">
        <v>426732.00599999982</v>
      </c>
      <c r="S102" s="27">
        <f t="shared" si="1"/>
        <v>9.8469886958425651E-2</v>
      </c>
    </row>
    <row r="103" spans="1:19" x14ac:dyDescent="0.25">
      <c r="A103" s="19">
        <v>96</v>
      </c>
      <c r="B103" s="19" t="s">
        <v>59</v>
      </c>
      <c r="C103" s="19" t="s">
        <v>98</v>
      </c>
      <c r="D103" s="19" t="s">
        <v>99</v>
      </c>
      <c r="E103" s="25" t="s">
        <v>100</v>
      </c>
      <c r="F103" s="25" t="s">
        <v>496</v>
      </c>
      <c r="G103" s="25" t="s">
        <v>97</v>
      </c>
      <c r="H103" s="26">
        <v>42300</v>
      </c>
      <c r="I103" s="25">
        <v>209</v>
      </c>
      <c r="J103" s="25" t="s">
        <v>252</v>
      </c>
      <c r="K103" s="27">
        <v>4996191.9759999998</v>
      </c>
      <c r="L103" s="25">
        <v>106</v>
      </c>
      <c r="M103" s="27">
        <v>69.828433962264143</v>
      </c>
      <c r="N103" s="27">
        <v>74.297499999999999</v>
      </c>
      <c r="O103" s="27">
        <v>104.13650187509673</v>
      </c>
      <c r="P103" s="27">
        <v>4436.7629999999999</v>
      </c>
      <c r="Q103" s="27">
        <v>4167.5415000000003</v>
      </c>
      <c r="R103" s="27">
        <v>470296.85700000002</v>
      </c>
      <c r="S103" s="27">
        <f t="shared" si="1"/>
        <v>9.413106206870063E-2</v>
      </c>
    </row>
    <row r="104" spans="1:19" x14ac:dyDescent="0.25">
      <c r="A104" s="19">
        <v>97</v>
      </c>
      <c r="B104" s="19" t="s">
        <v>59</v>
      </c>
      <c r="C104" s="19" t="s">
        <v>98</v>
      </c>
      <c r="D104" s="19" t="s">
        <v>99</v>
      </c>
      <c r="E104" s="25" t="s">
        <v>100</v>
      </c>
      <c r="F104" s="25" t="s">
        <v>497</v>
      </c>
      <c r="G104" s="25" t="s">
        <v>97</v>
      </c>
      <c r="H104" s="26">
        <v>42304</v>
      </c>
      <c r="I104" s="25">
        <v>212</v>
      </c>
      <c r="J104" s="25" t="s">
        <v>206</v>
      </c>
      <c r="K104" s="27">
        <v>4281573.2029999997</v>
      </c>
      <c r="L104" s="25">
        <v>151</v>
      </c>
      <c r="M104" s="27">
        <v>81.326824643811406</v>
      </c>
      <c r="N104" s="27">
        <v>75.587999999999994</v>
      </c>
      <c r="O104" s="27">
        <v>107.501268661384</v>
      </c>
      <c r="P104" s="27">
        <v>5200.17</v>
      </c>
      <c r="Q104" s="27">
        <v>4204.5379999999996</v>
      </c>
      <c r="R104" s="27">
        <v>801603.55</v>
      </c>
      <c r="S104" s="27">
        <f t="shared" si="1"/>
        <v>0.18722173182472623</v>
      </c>
    </row>
    <row r="105" spans="1:19" x14ac:dyDescent="0.25">
      <c r="A105" s="19">
        <v>98</v>
      </c>
      <c r="B105" s="19" t="s">
        <v>59</v>
      </c>
      <c r="C105" s="19" t="s">
        <v>98</v>
      </c>
      <c r="D105" s="19" t="s">
        <v>99</v>
      </c>
      <c r="E105" s="25" t="s">
        <v>100</v>
      </c>
      <c r="F105" s="25" t="s">
        <v>498</v>
      </c>
      <c r="G105" s="25" t="s">
        <v>96</v>
      </c>
      <c r="H105" s="26">
        <v>42304</v>
      </c>
      <c r="I105" s="25">
        <v>212</v>
      </c>
      <c r="J105" s="25" t="s">
        <v>206</v>
      </c>
      <c r="K105" s="27">
        <v>3650613.3169999998</v>
      </c>
      <c r="L105" s="25">
        <v>147</v>
      </c>
      <c r="M105" s="27">
        <v>78.441938775510224</v>
      </c>
      <c r="N105" s="27">
        <v>73.762</v>
      </c>
      <c r="O105" s="27">
        <v>104.49253758867596</v>
      </c>
      <c r="P105" s="27">
        <v>5121.03</v>
      </c>
      <c r="Q105" s="27">
        <v>4178.6270000000004</v>
      </c>
      <c r="R105" s="27">
        <v>752791.4300000004</v>
      </c>
      <c r="S105" s="27">
        <f t="shared" si="1"/>
        <v>0.20620957757822161</v>
      </c>
    </row>
    <row r="106" spans="1:19" x14ac:dyDescent="0.25">
      <c r="A106" s="19">
        <v>99</v>
      </c>
      <c r="B106" s="19" t="s">
        <v>59</v>
      </c>
      <c r="C106" s="19" t="s">
        <v>98</v>
      </c>
      <c r="D106" s="19" t="s">
        <v>99</v>
      </c>
      <c r="E106" s="25" t="s">
        <v>100</v>
      </c>
      <c r="F106" s="25" t="s">
        <v>499</v>
      </c>
      <c r="G106" s="25" t="s">
        <v>97</v>
      </c>
      <c r="H106" s="26">
        <v>42300</v>
      </c>
      <c r="I106" s="25">
        <v>217</v>
      </c>
      <c r="J106" s="25" t="s">
        <v>500</v>
      </c>
      <c r="K106" s="27">
        <v>4430384.84</v>
      </c>
      <c r="L106" s="25">
        <v>209</v>
      </c>
      <c r="M106" s="27">
        <v>45.814145933014359</v>
      </c>
      <c r="N106" s="27">
        <v>45.424000000000007</v>
      </c>
      <c r="O106" s="27">
        <v>68.687867512624223</v>
      </c>
      <c r="P106" s="27">
        <v>1883.375</v>
      </c>
      <c r="Q106" s="27">
        <v>1548.461</v>
      </c>
      <c r="R106" s="27">
        <v>393625.28800000006</v>
      </c>
      <c r="S106" s="27">
        <f t="shared" si="1"/>
        <v>8.8846748581777851E-2</v>
      </c>
    </row>
    <row r="107" spans="1:19" x14ac:dyDescent="0.25">
      <c r="A107" s="19">
        <v>100</v>
      </c>
      <c r="B107" s="19" t="s">
        <v>59</v>
      </c>
      <c r="C107" s="19" t="s">
        <v>98</v>
      </c>
      <c r="D107" s="19" t="s">
        <v>99</v>
      </c>
      <c r="E107" s="25" t="s">
        <v>100</v>
      </c>
      <c r="F107" s="25" t="s">
        <v>501</v>
      </c>
      <c r="G107" s="25" t="s">
        <v>97</v>
      </c>
      <c r="H107" s="26">
        <v>42304</v>
      </c>
      <c r="I107" s="25">
        <v>222</v>
      </c>
      <c r="J107" s="25" t="s">
        <v>266</v>
      </c>
      <c r="K107" s="27">
        <v>5179751.4529999997</v>
      </c>
      <c r="L107" s="25">
        <v>222</v>
      </c>
      <c r="M107" s="27">
        <v>83.753112612612654</v>
      </c>
      <c r="N107" s="27">
        <v>89.450999999999993</v>
      </c>
      <c r="O107" s="27">
        <v>129.52161041476086</v>
      </c>
      <c r="P107" s="27">
        <v>6339.8289999999997</v>
      </c>
      <c r="Q107" s="27">
        <v>6112.8609999999999</v>
      </c>
      <c r="R107" s="27">
        <v>703720.97800000012</v>
      </c>
      <c r="S107" s="27">
        <f t="shared" si="1"/>
        <v>0.13585998949668138</v>
      </c>
    </row>
    <row r="108" spans="1:19" x14ac:dyDescent="0.25">
      <c r="A108" s="19">
        <v>101</v>
      </c>
      <c r="B108" s="19" t="s">
        <v>59</v>
      </c>
      <c r="C108" s="19" t="s">
        <v>98</v>
      </c>
      <c r="D108" s="19" t="s">
        <v>99</v>
      </c>
      <c r="E108" s="25" t="s">
        <v>100</v>
      </c>
      <c r="F108" s="25" t="s">
        <v>502</v>
      </c>
      <c r="G108" s="25" t="s">
        <v>96</v>
      </c>
      <c r="H108" s="26">
        <v>42300</v>
      </c>
      <c r="I108" s="25">
        <v>223</v>
      </c>
      <c r="J108" s="25" t="s">
        <v>367</v>
      </c>
      <c r="K108" s="27">
        <v>3964389.2540000002</v>
      </c>
      <c r="L108" s="25">
        <v>215</v>
      </c>
      <c r="M108" s="27">
        <v>48.547721039999999</v>
      </c>
      <c r="N108" s="27">
        <v>47.912999999999997</v>
      </c>
      <c r="O108" s="27">
        <v>68.115454779999993</v>
      </c>
      <c r="P108" s="27">
        <v>2022.981</v>
      </c>
      <c r="Q108" s="27">
        <v>1701.3340000000001</v>
      </c>
      <c r="R108" s="27">
        <v>439987.50099999999</v>
      </c>
      <c r="S108" s="27">
        <f t="shared" si="1"/>
        <v>0.11098493937144548</v>
      </c>
    </row>
    <row r="109" spans="1:19" x14ac:dyDescent="0.25">
      <c r="A109" s="19">
        <v>102</v>
      </c>
      <c r="B109" s="19" t="s">
        <v>59</v>
      </c>
      <c r="C109" s="19" t="s">
        <v>98</v>
      </c>
      <c r="D109" s="19" t="s">
        <v>99</v>
      </c>
      <c r="E109" s="25" t="s">
        <v>100</v>
      </c>
      <c r="F109" s="25" t="s">
        <v>503</v>
      </c>
      <c r="G109" s="25" t="s">
        <v>96</v>
      </c>
      <c r="H109" s="26">
        <v>42300</v>
      </c>
      <c r="I109" s="25">
        <v>225</v>
      </c>
      <c r="J109" s="25" t="s">
        <v>331</v>
      </c>
      <c r="K109" s="27">
        <v>4163250.4840000002</v>
      </c>
      <c r="L109" s="25">
        <v>247</v>
      </c>
      <c r="M109" s="27">
        <v>49.696651821862297</v>
      </c>
      <c r="N109" s="27">
        <v>51.024999999999999</v>
      </c>
      <c r="O109" s="27">
        <v>64.61901432716715</v>
      </c>
      <c r="P109" s="27">
        <v>2024.816</v>
      </c>
      <c r="Q109" s="27">
        <v>1918.598</v>
      </c>
      <c r="R109" s="27">
        <v>500129.52400000033</v>
      </c>
      <c r="S109" s="27">
        <f t="shared" si="1"/>
        <v>0.12012957805975728</v>
      </c>
    </row>
    <row r="110" spans="1:19" x14ac:dyDescent="0.25">
      <c r="A110" s="19">
        <v>103</v>
      </c>
      <c r="B110" s="19" t="s">
        <v>59</v>
      </c>
      <c r="C110" s="19" t="s">
        <v>98</v>
      </c>
      <c r="D110" s="19" t="s">
        <v>99</v>
      </c>
      <c r="E110" s="25" t="s">
        <v>100</v>
      </c>
      <c r="F110" s="25" t="s">
        <v>504</v>
      </c>
      <c r="G110" s="25" t="s">
        <v>97</v>
      </c>
      <c r="H110" s="26">
        <v>42304</v>
      </c>
      <c r="I110" s="25">
        <v>227</v>
      </c>
      <c r="J110" s="25" t="s">
        <v>505</v>
      </c>
      <c r="K110" s="27">
        <v>4828122.71</v>
      </c>
      <c r="L110" s="25">
        <v>180</v>
      </c>
      <c r="M110" s="27">
        <v>52.116588888888892</v>
      </c>
      <c r="N110" s="27">
        <v>49.093000000000004</v>
      </c>
      <c r="O110" s="27">
        <v>82.155728299053948</v>
      </c>
      <c r="P110" s="27">
        <v>2352.9720000000002</v>
      </c>
      <c r="Q110" s="27">
        <v>1810.077</v>
      </c>
      <c r="R110" s="27">
        <v>423534.96900000039</v>
      </c>
      <c r="S110" s="27">
        <f t="shared" si="1"/>
        <v>8.772249473336198E-2</v>
      </c>
    </row>
    <row r="111" spans="1:19" x14ac:dyDescent="0.25">
      <c r="A111" s="19">
        <v>104</v>
      </c>
      <c r="B111" s="19" t="s">
        <v>59</v>
      </c>
      <c r="C111" s="19" t="s">
        <v>98</v>
      </c>
      <c r="D111" s="19" t="s">
        <v>99</v>
      </c>
      <c r="E111" s="25" t="s">
        <v>100</v>
      </c>
      <c r="F111" s="25" t="s">
        <v>506</v>
      </c>
      <c r="G111" s="25" t="s">
        <v>96</v>
      </c>
      <c r="H111" s="26">
        <v>42304</v>
      </c>
      <c r="I111" s="25">
        <v>227</v>
      </c>
      <c r="J111" s="25" t="s">
        <v>505</v>
      </c>
      <c r="K111" s="27">
        <v>4836033.9800000004</v>
      </c>
      <c r="L111" s="25">
        <v>129</v>
      </c>
      <c r="M111" s="27">
        <v>63.114267441860463</v>
      </c>
      <c r="N111" s="27">
        <v>61.810500000000005</v>
      </c>
      <c r="O111" s="27">
        <v>93.767068724815985</v>
      </c>
      <c r="P111" s="27">
        <v>3472.0650000000001</v>
      </c>
      <c r="Q111" s="27">
        <v>2866.578</v>
      </c>
      <c r="R111" s="27">
        <v>447896.33900000009</v>
      </c>
      <c r="S111" s="27">
        <f t="shared" si="1"/>
        <v>9.2616458207764707E-2</v>
      </c>
    </row>
    <row r="112" spans="1:19" x14ac:dyDescent="0.25">
      <c r="A112" s="19">
        <v>105</v>
      </c>
      <c r="B112" s="19" t="s">
        <v>59</v>
      </c>
      <c r="C112" s="19" t="s">
        <v>98</v>
      </c>
      <c r="D112" s="19" t="s">
        <v>99</v>
      </c>
      <c r="E112" s="25" t="s">
        <v>100</v>
      </c>
      <c r="F112" s="25" t="s">
        <v>507</v>
      </c>
      <c r="G112" s="25" t="s">
        <v>97</v>
      </c>
      <c r="H112" s="26">
        <v>42303</v>
      </c>
      <c r="I112" s="25">
        <v>230</v>
      </c>
      <c r="J112" s="25" t="s">
        <v>348</v>
      </c>
      <c r="K112" s="27">
        <v>4600013.3030000003</v>
      </c>
      <c r="L112" s="25">
        <v>178</v>
      </c>
      <c r="M112" s="27">
        <v>61.926199438202246</v>
      </c>
      <c r="N112" s="27">
        <v>57.170999999999999</v>
      </c>
      <c r="O112" s="27">
        <v>102.55726926822221</v>
      </c>
      <c r="P112" s="27">
        <v>3677.3989999999999</v>
      </c>
      <c r="Q112" s="27">
        <v>2385.0029999999997</v>
      </c>
      <c r="R112" s="27">
        <v>654576.99899999925</v>
      </c>
      <c r="S112" s="27">
        <f t="shared" si="1"/>
        <v>0.14229893608635924</v>
      </c>
    </row>
    <row r="113" spans="1:19" x14ac:dyDescent="0.25">
      <c r="A113" s="19">
        <v>106</v>
      </c>
      <c r="B113" s="19" t="s">
        <v>59</v>
      </c>
      <c r="C113" s="19" t="s">
        <v>98</v>
      </c>
      <c r="D113" s="19" t="s">
        <v>99</v>
      </c>
      <c r="E113" s="25" t="s">
        <v>100</v>
      </c>
      <c r="F113" s="25" t="s">
        <v>508</v>
      </c>
      <c r="G113" s="25" t="s">
        <v>96</v>
      </c>
      <c r="H113" s="26">
        <v>42311</v>
      </c>
      <c r="I113" s="25">
        <v>231</v>
      </c>
      <c r="J113" s="25" t="s">
        <v>365</v>
      </c>
      <c r="K113" s="27">
        <v>3501714.392</v>
      </c>
      <c r="L113" s="25">
        <v>184</v>
      </c>
      <c r="M113" s="27">
        <v>57.046605978260885</v>
      </c>
      <c r="N113" s="27">
        <v>57.778000000000006</v>
      </c>
      <c r="O113" s="27">
        <v>71.525675921792327</v>
      </c>
      <c r="P113" s="27">
        <v>2582.873</v>
      </c>
      <c r="Q113" s="27">
        <v>2480.4544999999998</v>
      </c>
      <c r="R113" s="27">
        <v>475248.66300000006</v>
      </c>
      <c r="S113" s="27">
        <f t="shared" si="1"/>
        <v>0.13571885362374239</v>
      </c>
    </row>
    <row r="114" spans="1:19" x14ac:dyDescent="0.25">
      <c r="A114" s="19">
        <v>107</v>
      </c>
      <c r="B114" s="19" t="s">
        <v>59</v>
      </c>
      <c r="C114" s="19" t="s">
        <v>98</v>
      </c>
      <c r="D114" s="19" t="s">
        <v>99</v>
      </c>
      <c r="E114" s="25" t="s">
        <v>100</v>
      </c>
      <c r="F114" s="25" t="s">
        <v>509</v>
      </c>
      <c r="G114" s="25" t="s">
        <v>97</v>
      </c>
      <c r="H114" s="26">
        <v>42312</v>
      </c>
      <c r="I114" s="25">
        <v>232</v>
      </c>
      <c r="J114" s="25" t="s">
        <v>340</v>
      </c>
      <c r="K114" s="27">
        <v>3990104.32</v>
      </c>
      <c r="L114" s="25">
        <v>158</v>
      </c>
      <c r="M114" s="27">
        <v>62.6196993670886</v>
      </c>
      <c r="N114" s="27">
        <v>57.59375</v>
      </c>
      <c r="O114" s="27">
        <v>104.41693582737049</v>
      </c>
      <c r="P114" s="27">
        <v>3706.9490000000001</v>
      </c>
      <c r="Q114" s="27">
        <v>2503.442</v>
      </c>
      <c r="R114" s="27">
        <v>585697.91899999988</v>
      </c>
      <c r="S114" s="27">
        <f t="shared" si="1"/>
        <v>0.14678762058030601</v>
      </c>
    </row>
    <row r="115" spans="1:19" x14ac:dyDescent="0.25">
      <c r="A115" s="19">
        <v>108</v>
      </c>
      <c r="B115" s="19" t="s">
        <v>59</v>
      </c>
      <c r="C115" s="19" t="s">
        <v>98</v>
      </c>
      <c r="D115" s="19" t="s">
        <v>99</v>
      </c>
      <c r="E115" s="25" t="s">
        <v>100</v>
      </c>
      <c r="F115" s="25" t="s">
        <v>510</v>
      </c>
      <c r="G115" s="25" t="s">
        <v>96</v>
      </c>
      <c r="H115" s="26">
        <v>42307</v>
      </c>
      <c r="I115" s="25">
        <v>234</v>
      </c>
      <c r="J115" s="25" t="s">
        <v>337</v>
      </c>
      <c r="K115" s="27">
        <v>4516683.2359999996</v>
      </c>
      <c r="L115" s="25">
        <v>160</v>
      </c>
      <c r="M115" s="27">
        <v>67.798559375000025</v>
      </c>
      <c r="N115" s="27">
        <v>71.534750000000003</v>
      </c>
      <c r="O115" s="27">
        <v>86.981801184376565</v>
      </c>
      <c r="P115" s="27">
        <v>3843.5219999999999</v>
      </c>
      <c r="Q115" s="27">
        <v>3849.7979999999998</v>
      </c>
      <c r="R115" s="27">
        <v>614963.4790000004</v>
      </c>
      <c r="S115" s="27">
        <f t="shared" si="1"/>
        <v>0.13615377631498807</v>
      </c>
    </row>
    <row r="116" spans="1:19" x14ac:dyDescent="0.25">
      <c r="A116" s="19">
        <v>109</v>
      </c>
      <c r="B116" s="19" t="s">
        <v>59</v>
      </c>
      <c r="C116" s="19" t="s">
        <v>98</v>
      </c>
      <c r="D116" s="19" t="s">
        <v>99</v>
      </c>
      <c r="E116" s="25" t="s">
        <v>100</v>
      </c>
      <c r="F116" s="25" t="s">
        <v>101</v>
      </c>
      <c r="G116" s="25" t="s">
        <v>96</v>
      </c>
      <c r="H116" s="26">
        <v>42304</v>
      </c>
      <c r="I116" s="25">
        <v>235</v>
      </c>
      <c r="J116" s="25" t="s">
        <v>50</v>
      </c>
      <c r="K116" s="27">
        <v>4613058.1809999999</v>
      </c>
      <c r="L116" s="25">
        <v>191</v>
      </c>
      <c r="M116" s="27">
        <v>71.186086387434599</v>
      </c>
      <c r="N116" s="27">
        <v>69.64</v>
      </c>
      <c r="O116" s="27">
        <v>101.0295063793988</v>
      </c>
      <c r="P116" s="27">
        <v>4172.9520000000002</v>
      </c>
      <c r="Q116" s="27">
        <v>3504.866</v>
      </c>
      <c r="R116" s="27">
        <v>797033.77000000048</v>
      </c>
      <c r="S116" s="27">
        <f t="shared" si="1"/>
        <v>0.17277774064996135</v>
      </c>
    </row>
    <row r="117" spans="1:19" x14ac:dyDescent="0.25">
      <c r="A117" s="19">
        <v>110</v>
      </c>
      <c r="B117" s="19" t="s">
        <v>59</v>
      </c>
      <c r="C117" s="19" t="s">
        <v>98</v>
      </c>
      <c r="D117" s="19" t="s">
        <v>99</v>
      </c>
      <c r="E117" s="25" t="s">
        <v>100</v>
      </c>
      <c r="F117" s="25" t="s">
        <v>511</v>
      </c>
      <c r="G117" s="25" t="s">
        <v>97</v>
      </c>
      <c r="H117" s="26">
        <v>42312</v>
      </c>
      <c r="I117" s="25">
        <v>236</v>
      </c>
      <c r="J117" s="25" t="s">
        <v>268</v>
      </c>
      <c r="K117" s="27">
        <v>4383243.95</v>
      </c>
      <c r="L117" s="25">
        <v>204</v>
      </c>
      <c r="M117" s="27">
        <v>62.027740196078412</v>
      </c>
      <c r="N117" s="27">
        <v>61.478000000000002</v>
      </c>
      <c r="O117" s="27">
        <v>90.141396611013803</v>
      </c>
      <c r="P117" s="27">
        <v>3344.8580000000002</v>
      </c>
      <c r="Q117" s="27">
        <v>2816.1684999999998</v>
      </c>
      <c r="R117" s="27">
        <v>682351.04099999985</v>
      </c>
      <c r="S117" s="27">
        <f t="shared" si="1"/>
        <v>0.15567261343051642</v>
      </c>
    </row>
    <row r="118" spans="1:19" x14ac:dyDescent="0.25">
      <c r="A118" s="19">
        <v>111</v>
      </c>
      <c r="B118" s="19" t="s">
        <v>59</v>
      </c>
      <c r="C118" s="19" t="s">
        <v>98</v>
      </c>
      <c r="D118" s="19" t="s">
        <v>99</v>
      </c>
      <c r="E118" s="25" t="s">
        <v>100</v>
      </c>
      <c r="F118" s="25" t="s">
        <v>512</v>
      </c>
      <c r="G118" s="25" t="s">
        <v>96</v>
      </c>
      <c r="H118" s="26">
        <v>42307</v>
      </c>
      <c r="I118" s="25">
        <v>237</v>
      </c>
      <c r="J118" s="25" t="s">
        <v>328</v>
      </c>
      <c r="K118" s="27">
        <v>4355785.8990000002</v>
      </c>
      <c r="L118" s="25">
        <v>107</v>
      </c>
      <c r="M118" s="27">
        <v>74.83904205607476</v>
      </c>
      <c r="N118" s="27">
        <v>74.658999999999992</v>
      </c>
      <c r="O118" s="27">
        <v>93.669350572587049</v>
      </c>
      <c r="P118" s="27">
        <v>4553.2070000000003</v>
      </c>
      <c r="Q118" s="27">
        <v>4213.1670000000004</v>
      </c>
      <c r="R118" s="27">
        <v>487193.16500000027</v>
      </c>
      <c r="S118" s="27">
        <f t="shared" si="1"/>
        <v>0.11184965843060604</v>
      </c>
    </row>
    <row r="119" spans="1:19" x14ac:dyDescent="0.25">
      <c r="A119" s="19">
        <v>112</v>
      </c>
      <c r="B119" s="19" t="s">
        <v>59</v>
      </c>
      <c r="C119" s="19" t="s">
        <v>98</v>
      </c>
      <c r="D119" s="19" t="s">
        <v>99</v>
      </c>
      <c r="E119" s="25" t="s">
        <v>100</v>
      </c>
      <c r="F119" s="25" t="s">
        <v>513</v>
      </c>
      <c r="G119" s="25" t="s">
        <v>96</v>
      </c>
      <c r="H119" s="26">
        <v>42311</v>
      </c>
      <c r="I119" s="25">
        <v>238</v>
      </c>
      <c r="J119" s="25" t="s">
        <v>409</v>
      </c>
      <c r="K119" s="27">
        <v>3526967.9569999999</v>
      </c>
      <c r="L119" s="25">
        <v>92</v>
      </c>
      <c r="M119" s="27">
        <v>73.402260869565211</v>
      </c>
      <c r="N119" s="27">
        <v>74.866250000000008</v>
      </c>
      <c r="O119" s="27">
        <v>108.53786250653913</v>
      </c>
      <c r="P119" s="27">
        <v>4894.3609999999999</v>
      </c>
      <c r="Q119" s="27">
        <v>4099.2790000000005</v>
      </c>
      <c r="R119" s="27">
        <v>450281.21900000004</v>
      </c>
      <c r="S119" s="27">
        <f t="shared" si="1"/>
        <v>0.12766807764905364</v>
      </c>
    </row>
    <row r="120" spans="1:19" x14ac:dyDescent="0.25">
      <c r="A120" s="19">
        <v>113</v>
      </c>
      <c r="B120" s="19" t="s">
        <v>59</v>
      </c>
      <c r="C120" s="19" t="s">
        <v>98</v>
      </c>
      <c r="D120" s="19" t="s">
        <v>99</v>
      </c>
      <c r="E120" s="25" t="s">
        <v>100</v>
      </c>
      <c r="F120" s="25" t="s">
        <v>514</v>
      </c>
      <c r="G120" s="25" t="s">
        <v>97</v>
      </c>
      <c r="H120" s="26">
        <v>42314</v>
      </c>
      <c r="I120" s="25">
        <v>239</v>
      </c>
      <c r="J120" s="25" t="s">
        <v>136</v>
      </c>
      <c r="K120" s="27">
        <v>3070493.36</v>
      </c>
      <c r="L120" s="25">
        <v>167</v>
      </c>
      <c r="M120" s="27">
        <v>50.791982035928143</v>
      </c>
      <c r="N120" s="27">
        <v>52.124000000000002</v>
      </c>
      <c r="O120" s="27">
        <v>64.010556289922377</v>
      </c>
      <c r="P120" s="27">
        <v>2053.971</v>
      </c>
      <c r="Q120" s="27">
        <v>2001.2139999999999</v>
      </c>
      <c r="R120" s="27">
        <v>343013.13799999974</v>
      </c>
      <c r="S120" s="27">
        <f t="shared" si="1"/>
        <v>0.11171271121068302</v>
      </c>
    </row>
    <row r="121" spans="1:19" x14ac:dyDescent="0.25">
      <c r="A121" s="19">
        <v>114</v>
      </c>
      <c r="B121" s="19" t="s">
        <v>59</v>
      </c>
      <c r="C121" s="19" t="s">
        <v>98</v>
      </c>
      <c r="D121" s="19" t="s">
        <v>99</v>
      </c>
      <c r="E121" s="25" t="s">
        <v>100</v>
      </c>
      <c r="F121" s="25" t="s">
        <v>515</v>
      </c>
      <c r="G121" s="25" t="s">
        <v>97</v>
      </c>
      <c r="H121" s="26">
        <v>42303</v>
      </c>
      <c r="I121" s="25">
        <v>240</v>
      </c>
      <c r="J121" s="25" t="s">
        <v>299</v>
      </c>
      <c r="K121" s="27">
        <v>4235633.97</v>
      </c>
      <c r="L121" s="25">
        <v>378</v>
      </c>
      <c r="M121" s="27">
        <v>45.790157407407413</v>
      </c>
      <c r="N121" s="27">
        <v>46.372750000000003</v>
      </c>
      <c r="O121" s="27">
        <v>59.985591821556412</v>
      </c>
      <c r="P121" s="27">
        <v>1719.335</v>
      </c>
      <c r="Q121" s="27">
        <v>1615.2070000000001</v>
      </c>
      <c r="R121" s="27">
        <v>649908.73899999994</v>
      </c>
      <c r="S121" s="27">
        <f t="shared" si="1"/>
        <v>0.15343836214440409</v>
      </c>
    </row>
    <row r="122" spans="1:19" x14ac:dyDescent="0.25">
      <c r="A122" s="19">
        <v>115</v>
      </c>
      <c r="B122" s="19" t="s">
        <v>59</v>
      </c>
      <c r="C122" s="19" t="s">
        <v>98</v>
      </c>
      <c r="D122" s="19" t="s">
        <v>99</v>
      </c>
      <c r="E122" s="25" t="s">
        <v>100</v>
      </c>
      <c r="F122" s="25" t="s">
        <v>516</v>
      </c>
      <c r="G122" s="25" t="s">
        <v>97</v>
      </c>
      <c r="H122" s="26">
        <v>42314</v>
      </c>
      <c r="I122" s="25">
        <v>242</v>
      </c>
      <c r="J122" s="25" t="s">
        <v>268</v>
      </c>
      <c r="K122" s="27">
        <v>4912948.96</v>
      </c>
      <c r="L122" s="25">
        <v>204</v>
      </c>
      <c r="M122" s="27">
        <v>74.6413382352941</v>
      </c>
      <c r="N122" s="27">
        <v>72.483000000000004</v>
      </c>
      <c r="O122" s="27">
        <v>101.19568148750491</v>
      </c>
      <c r="P122" s="27">
        <v>4659.0640000000003</v>
      </c>
      <c r="Q122" s="27">
        <v>3909.076</v>
      </c>
      <c r="R122" s="27">
        <v>950449.01700000023</v>
      </c>
      <c r="S122" s="27">
        <f t="shared" si="1"/>
        <v>0.19345794648760206</v>
      </c>
    </row>
    <row r="123" spans="1:19" x14ac:dyDescent="0.25">
      <c r="A123" s="19">
        <v>116</v>
      </c>
      <c r="B123" s="19" t="s">
        <v>59</v>
      </c>
      <c r="C123" s="19" t="s">
        <v>98</v>
      </c>
      <c r="D123" s="19" t="s">
        <v>99</v>
      </c>
      <c r="E123" s="25" t="s">
        <v>100</v>
      </c>
      <c r="F123" s="25" t="s">
        <v>517</v>
      </c>
      <c r="G123" s="25" t="s">
        <v>97</v>
      </c>
      <c r="H123" s="26">
        <v>42303</v>
      </c>
      <c r="I123" s="25">
        <v>243</v>
      </c>
      <c r="J123" s="25" t="s">
        <v>132</v>
      </c>
      <c r="K123" s="27">
        <v>5120752.176</v>
      </c>
      <c r="L123" s="25">
        <v>148</v>
      </c>
      <c r="M123" s="27">
        <v>70.970111486486488</v>
      </c>
      <c r="N123" s="27">
        <v>76.373999999999995</v>
      </c>
      <c r="O123" s="27">
        <v>88.238606028330963</v>
      </c>
      <c r="P123" s="27">
        <v>4103.32</v>
      </c>
      <c r="Q123" s="27">
        <v>4440.0105000000003</v>
      </c>
      <c r="R123" s="27">
        <v>607291.41500000004</v>
      </c>
      <c r="S123" s="27">
        <f t="shared" si="1"/>
        <v>0.11859418189504667</v>
      </c>
    </row>
    <row r="124" spans="1:19" x14ac:dyDescent="0.25">
      <c r="A124" s="19">
        <v>117</v>
      </c>
      <c r="B124" s="19" t="s">
        <v>59</v>
      </c>
      <c r="C124" s="19" t="s">
        <v>98</v>
      </c>
      <c r="D124" s="19" t="s">
        <v>99</v>
      </c>
      <c r="E124" s="25" t="s">
        <v>100</v>
      </c>
      <c r="F124" s="25" t="s">
        <v>518</v>
      </c>
      <c r="G124" s="25" t="s">
        <v>97</v>
      </c>
      <c r="H124" s="26">
        <v>42303</v>
      </c>
      <c r="I124" s="25">
        <v>245</v>
      </c>
      <c r="J124" s="25" t="s">
        <v>151</v>
      </c>
      <c r="K124" s="27">
        <v>3726108.8939999999</v>
      </c>
      <c r="L124" s="25">
        <v>83</v>
      </c>
      <c r="M124" s="27">
        <v>78.519903614457832</v>
      </c>
      <c r="N124" s="27">
        <v>84.585000000000008</v>
      </c>
      <c r="O124" s="27">
        <v>113.75617578514964</v>
      </c>
      <c r="P124" s="27">
        <v>5498.3130000000001</v>
      </c>
      <c r="Q124" s="27">
        <v>5295.1059999999998</v>
      </c>
      <c r="R124" s="27">
        <v>456360.00599999999</v>
      </c>
      <c r="S124" s="27">
        <f t="shared" si="1"/>
        <v>0.12247629336191912</v>
      </c>
    </row>
    <row r="125" spans="1:19" x14ac:dyDescent="0.25">
      <c r="A125" s="19">
        <v>118</v>
      </c>
      <c r="B125" s="19" t="s">
        <v>59</v>
      </c>
      <c r="C125" s="19" t="s">
        <v>98</v>
      </c>
      <c r="D125" s="19" t="s">
        <v>99</v>
      </c>
      <c r="E125" s="25" t="s">
        <v>100</v>
      </c>
      <c r="F125" s="25" t="s">
        <v>519</v>
      </c>
      <c r="G125" s="25" t="s">
        <v>97</v>
      </c>
      <c r="H125" s="26">
        <v>42311</v>
      </c>
      <c r="I125" s="25">
        <v>249</v>
      </c>
      <c r="J125" s="25" t="s">
        <v>136</v>
      </c>
      <c r="K125" s="27">
        <v>4779973.6279999996</v>
      </c>
      <c r="L125" s="25">
        <v>128</v>
      </c>
      <c r="M125" s="27">
        <v>43.253265624999983</v>
      </c>
      <c r="N125" s="27">
        <v>43.95675</v>
      </c>
      <c r="O125" s="27">
        <v>59.930249892335198</v>
      </c>
      <c r="P125" s="27">
        <v>1566.1780000000001</v>
      </c>
      <c r="Q125" s="27">
        <v>1456.6264999999999</v>
      </c>
      <c r="R125" s="27">
        <v>200470.72300000011</v>
      </c>
      <c r="S125" s="27">
        <f t="shared" si="1"/>
        <v>4.1939713187053619E-2</v>
      </c>
    </row>
    <row r="126" spans="1:19" x14ac:dyDescent="0.25">
      <c r="A126" s="19">
        <v>119</v>
      </c>
      <c r="B126" s="19" t="s">
        <v>59</v>
      </c>
      <c r="C126" s="19" t="s">
        <v>98</v>
      </c>
      <c r="D126" s="19" t="s">
        <v>99</v>
      </c>
      <c r="E126" s="25" t="s">
        <v>100</v>
      </c>
      <c r="F126" s="25" t="s">
        <v>522</v>
      </c>
      <c r="G126" s="25" t="s">
        <v>97</v>
      </c>
      <c r="H126" s="26">
        <v>42305</v>
      </c>
      <c r="I126" s="25">
        <v>251</v>
      </c>
      <c r="J126" s="25" t="s">
        <v>380</v>
      </c>
      <c r="K126" s="27">
        <v>6646022.5439999998</v>
      </c>
      <c r="L126" s="25">
        <v>82</v>
      </c>
      <c r="M126" s="27">
        <v>110.29862195121947</v>
      </c>
      <c r="N126" s="27">
        <v>106.3685</v>
      </c>
      <c r="O126" s="27">
        <v>162.98872661916346</v>
      </c>
      <c r="P126" s="27">
        <v>10457.022000000001</v>
      </c>
      <c r="Q126" s="27">
        <v>8347.5689999999995</v>
      </c>
      <c r="R126" s="27">
        <v>857475.78700000013</v>
      </c>
      <c r="S126" s="27">
        <f t="shared" si="1"/>
        <v>0.1290208965321861</v>
      </c>
    </row>
    <row r="127" spans="1:19" x14ac:dyDescent="0.25">
      <c r="A127" s="19">
        <v>120</v>
      </c>
      <c r="B127" s="19" t="s">
        <v>59</v>
      </c>
      <c r="C127" s="19" t="s">
        <v>98</v>
      </c>
      <c r="D127" s="19" t="s">
        <v>99</v>
      </c>
      <c r="E127" s="25" t="s">
        <v>100</v>
      </c>
      <c r="F127" s="25" t="s">
        <v>523</v>
      </c>
      <c r="G127" s="25" t="s">
        <v>97</v>
      </c>
      <c r="H127" s="26">
        <v>42307</v>
      </c>
      <c r="I127" s="25">
        <v>262</v>
      </c>
      <c r="J127" s="25" t="s">
        <v>250</v>
      </c>
      <c r="K127" s="27">
        <v>5009020.0470000003</v>
      </c>
      <c r="L127" s="25">
        <v>148</v>
      </c>
      <c r="M127" s="27">
        <v>50.50358108108108</v>
      </c>
      <c r="N127" s="27">
        <v>48.952750000000002</v>
      </c>
      <c r="O127" s="27">
        <v>70.658747195074639</v>
      </c>
      <c r="P127" s="27">
        <v>2184.049</v>
      </c>
      <c r="Q127" s="27">
        <v>1802.9590000000001</v>
      </c>
      <c r="R127" s="27">
        <v>323239.28100000013</v>
      </c>
      <c r="S127" s="27">
        <f t="shared" si="1"/>
        <v>6.4531440874067661E-2</v>
      </c>
    </row>
    <row r="128" spans="1:19" x14ac:dyDescent="0.25">
      <c r="A128" s="19">
        <v>121</v>
      </c>
      <c r="B128" s="19" t="s">
        <v>59</v>
      </c>
      <c r="C128" s="19" t="s">
        <v>98</v>
      </c>
      <c r="D128" s="19" t="s">
        <v>99</v>
      </c>
      <c r="E128" s="25" t="s">
        <v>100</v>
      </c>
      <c r="F128" s="25" t="s">
        <v>524</v>
      </c>
      <c r="G128" s="25" t="s">
        <v>97</v>
      </c>
      <c r="H128" s="26">
        <v>42312</v>
      </c>
      <c r="I128" s="25">
        <v>266</v>
      </c>
      <c r="J128" s="25" t="s">
        <v>525</v>
      </c>
      <c r="K128" s="27">
        <v>3620514.3640000001</v>
      </c>
      <c r="L128" s="25">
        <v>203</v>
      </c>
      <c r="M128" s="27">
        <v>44.823450738916229</v>
      </c>
      <c r="N128" s="27">
        <v>45.546500000000002</v>
      </c>
      <c r="O128" s="27">
        <v>58.255855256282992</v>
      </c>
      <c r="P128" s="27">
        <v>1627.4280000000001</v>
      </c>
      <c r="Q128" s="27">
        <v>1536.559</v>
      </c>
      <c r="R128" s="27">
        <v>330367.80500000005</v>
      </c>
      <c r="S128" s="27">
        <f t="shared" si="1"/>
        <v>9.124885908062097E-2</v>
      </c>
    </row>
    <row r="129" spans="1:19" x14ac:dyDescent="0.25">
      <c r="A129" s="19">
        <v>122</v>
      </c>
      <c r="B129" s="19" t="s">
        <v>59</v>
      </c>
      <c r="C129" s="19" t="s">
        <v>98</v>
      </c>
      <c r="D129" s="19" t="s">
        <v>99</v>
      </c>
      <c r="E129" s="25" t="s">
        <v>100</v>
      </c>
      <c r="F129" s="25" t="s">
        <v>533</v>
      </c>
      <c r="G129" s="25" t="s">
        <v>97</v>
      </c>
      <c r="H129" s="26">
        <v>42307</v>
      </c>
      <c r="I129" s="25">
        <v>274</v>
      </c>
      <c r="J129" s="25" t="s">
        <v>171</v>
      </c>
      <c r="K129" s="27">
        <v>5856563.0470000003</v>
      </c>
      <c r="L129" s="25">
        <v>94</v>
      </c>
      <c r="M129" s="27">
        <v>81.08889893617021</v>
      </c>
      <c r="N129" s="27">
        <v>82.971499999999992</v>
      </c>
      <c r="O129" s="27">
        <v>106.18670729884498</v>
      </c>
      <c r="P129" s="27">
        <v>5513.3710000000001</v>
      </c>
      <c r="Q129" s="27">
        <v>5229.9935000000005</v>
      </c>
      <c r="R129" s="27">
        <v>518256.90200000018</v>
      </c>
      <c r="S129" s="27">
        <f t="shared" si="1"/>
        <v>8.8491645670146946E-2</v>
      </c>
    </row>
    <row r="130" spans="1:19" x14ac:dyDescent="0.25">
      <c r="A130" s="19">
        <v>123</v>
      </c>
      <c r="B130" s="19" t="s">
        <v>59</v>
      </c>
      <c r="C130" s="19" t="s">
        <v>98</v>
      </c>
      <c r="D130" s="19" t="s">
        <v>99</v>
      </c>
      <c r="E130" s="25" t="s">
        <v>100</v>
      </c>
      <c r="F130" s="25" t="s">
        <v>534</v>
      </c>
      <c r="G130" s="25" t="s">
        <v>96</v>
      </c>
      <c r="H130" s="26">
        <v>42307</v>
      </c>
      <c r="I130" s="25">
        <v>274</v>
      </c>
      <c r="J130" s="25" t="s">
        <v>171</v>
      </c>
      <c r="K130" s="27">
        <v>6969752.1529999999</v>
      </c>
      <c r="L130" s="25">
        <v>89</v>
      </c>
      <c r="M130" s="27">
        <v>67.827589887640485</v>
      </c>
      <c r="N130" s="27">
        <v>66.096000000000004</v>
      </c>
      <c r="O130" s="27">
        <v>104.42755858380453</v>
      </c>
      <c r="P130" s="27">
        <v>4184.8969999999999</v>
      </c>
      <c r="Q130" s="27">
        <v>3180.2379999999998</v>
      </c>
      <c r="R130" s="27">
        <v>372455.83200000005</v>
      </c>
      <c r="S130" s="27">
        <f t="shared" si="1"/>
        <v>5.3438891918083972E-2</v>
      </c>
    </row>
    <row r="131" spans="1:19" x14ac:dyDescent="0.25">
      <c r="A131" s="19">
        <v>124</v>
      </c>
      <c r="B131" s="19" t="s">
        <v>59</v>
      </c>
      <c r="C131" s="19" t="s">
        <v>98</v>
      </c>
      <c r="D131" s="19" t="s">
        <v>99</v>
      </c>
      <c r="E131" s="25" t="s">
        <v>100</v>
      </c>
      <c r="F131" s="25" t="s">
        <v>535</v>
      </c>
      <c r="G131" s="25" t="s">
        <v>96</v>
      </c>
      <c r="H131" s="26">
        <v>42303</v>
      </c>
      <c r="I131" s="25">
        <v>280</v>
      </c>
      <c r="J131" s="25" t="s">
        <v>224</v>
      </c>
      <c r="K131" s="27">
        <v>6599659.0350000001</v>
      </c>
      <c r="L131" s="25">
        <v>181</v>
      </c>
      <c r="M131" s="27">
        <v>63.333906079999998</v>
      </c>
      <c r="N131" s="27">
        <v>66.8</v>
      </c>
      <c r="O131" s="27">
        <v>80.045151149999995</v>
      </c>
      <c r="P131" s="27">
        <v>3329.8890000000001</v>
      </c>
      <c r="Q131" s="27">
        <v>3356.904</v>
      </c>
      <c r="R131" s="27">
        <v>602709.978</v>
      </c>
      <c r="S131" s="27">
        <f t="shared" si="1"/>
        <v>9.132441157999914E-2</v>
      </c>
    </row>
    <row r="132" spans="1:19" x14ac:dyDescent="0.25">
      <c r="A132" s="19">
        <v>125</v>
      </c>
      <c r="B132" s="19" t="s">
        <v>59</v>
      </c>
      <c r="C132" s="19" t="s">
        <v>98</v>
      </c>
      <c r="D132" s="19" t="s">
        <v>99</v>
      </c>
      <c r="E132" s="25" t="s">
        <v>100</v>
      </c>
      <c r="F132" s="25" t="s">
        <v>536</v>
      </c>
      <c r="G132" s="25" t="s">
        <v>97</v>
      </c>
      <c r="H132" s="26">
        <v>42305</v>
      </c>
      <c r="I132" s="25">
        <v>282</v>
      </c>
      <c r="J132" s="25" t="s">
        <v>210</v>
      </c>
      <c r="K132" s="27">
        <v>4387744.4050000003</v>
      </c>
      <c r="L132" s="25">
        <v>137</v>
      </c>
      <c r="M132" s="27">
        <v>58.310937956204349</v>
      </c>
      <c r="N132" s="27">
        <v>55.761500000000005</v>
      </c>
      <c r="O132" s="27">
        <v>96.393776242340437</v>
      </c>
      <c r="P132" s="27">
        <v>3156.4810000000002</v>
      </c>
      <c r="Q132" s="27">
        <v>2270.998</v>
      </c>
      <c r="R132" s="27">
        <v>432437.86699999997</v>
      </c>
      <c r="S132" s="27">
        <f t="shared" si="1"/>
        <v>9.8555847169953817E-2</v>
      </c>
    </row>
    <row r="133" spans="1:19" x14ac:dyDescent="0.25">
      <c r="A133" s="19">
        <v>126</v>
      </c>
      <c r="B133" s="19" t="s">
        <v>59</v>
      </c>
      <c r="C133" s="19" t="s">
        <v>98</v>
      </c>
      <c r="D133" s="19" t="s">
        <v>99</v>
      </c>
      <c r="E133" s="25" t="s">
        <v>100</v>
      </c>
      <c r="F133" s="25" t="s">
        <v>537</v>
      </c>
      <c r="G133" s="25" t="s">
        <v>97</v>
      </c>
      <c r="H133" s="26">
        <v>42308</v>
      </c>
      <c r="I133" s="25">
        <v>308</v>
      </c>
      <c r="J133" s="25" t="s">
        <v>268</v>
      </c>
      <c r="K133" s="27">
        <v>3528507.7829999998</v>
      </c>
      <c r="L133" s="25">
        <v>200</v>
      </c>
      <c r="M133" s="27">
        <v>60.951307500000013</v>
      </c>
      <c r="N133" s="27">
        <v>59.753</v>
      </c>
      <c r="O133" s="27">
        <v>85.773729281922058</v>
      </c>
      <c r="P133" s="27">
        <v>3171.8220000000001</v>
      </c>
      <c r="Q133" s="27">
        <v>2703.4470000000001</v>
      </c>
      <c r="R133" s="27">
        <v>634364.39300000016</v>
      </c>
      <c r="S133" s="27">
        <f t="shared" si="1"/>
        <v>0.17978262540791459</v>
      </c>
    </row>
    <row r="134" spans="1:19" x14ac:dyDescent="0.25">
      <c r="A134" s="19">
        <v>127</v>
      </c>
      <c r="B134" s="19" t="s">
        <v>59</v>
      </c>
      <c r="C134" s="19" t="s">
        <v>98</v>
      </c>
      <c r="D134" s="19" t="s">
        <v>99</v>
      </c>
      <c r="E134" s="25" t="s">
        <v>100</v>
      </c>
      <c r="F134" s="25" t="s">
        <v>538</v>
      </c>
      <c r="G134" s="25" t="s">
        <v>96</v>
      </c>
      <c r="H134" s="26">
        <v>42312</v>
      </c>
      <c r="I134" s="25">
        <v>309</v>
      </c>
      <c r="J134" s="25" t="s">
        <v>268</v>
      </c>
      <c r="K134" s="27">
        <v>4486160.2369999997</v>
      </c>
      <c r="L134" s="25">
        <v>103</v>
      </c>
      <c r="M134" s="27">
        <v>74.542427184466035</v>
      </c>
      <c r="N134" s="27">
        <v>76.534500000000008</v>
      </c>
      <c r="O134" s="27">
        <v>113.78447595366471</v>
      </c>
      <c r="P134" s="27">
        <v>4922.085</v>
      </c>
      <c r="Q134" s="27">
        <v>4001.26</v>
      </c>
      <c r="R134" s="27">
        <v>506974.72899999999</v>
      </c>
      <c r="S134" s="27">
        <f t="shared" si="1"/>
        <v>0.11300860919293107</v>
      </c>
    </row>
    <row r="135" spans="1:19" x14ac:dyDescent="0.25">
      <c r="A135" s="19">
        <v>128</v>
      </c>
      <c r="B135" s="19" t="s">
        <v>59</v>
      </c>
      <c r="C135" s="19" t="s">
        <v>98</v>
      </c>
      <c r="D135" s="19" t="s">
        <v>99</v>
      </c>
      <c r="E135" s="25" t="s">
        <v>100</v>
      </c>
      <c r="F135" s="25" t="s">
        <v>539</v>
      </c>
      <c r="G135" s="25" t="s">
        <v>97</v>
      </c>
      <c r="H135" s="26">
        <v>42312</v>
      </c>
      <c r="I135" s="25">
        <v>310</v>
      </c>
      <c r="J135" s="25" t="s">
        <v>268</v>
      </c>
      <c r="K135" s="27">
        <v>5994297.6500000004</v>
      </c>
      <c r="L135" s="25">
        <v>165</v>
      </c>
      <c r="M135" s="27">
        <v>67.684781818181818</v>
      </c>
      <c r="N135" s="27">
        <v>72.896000000000001</v>
      </c>
      <c r="O135" s="27">
        <v>90.331449433375667</v>
      </c>
      <c r="P135" s="27">
        <v>3893.2159999999999</v>
      </c>
      <c r="Q135" s="27">
        <v>4147.8209999999999</v>
      </c>
      <c r="R135" s="27">
        <v>642380.68000000005</v>
      </c>
      <c r="S135" s="27">
        <f t="shared" si="1"/>
        <v>0.10716529567062791</v>
      </c>
    </row>
    <row r="136" spans="1:19" x14ac:dyDescent="0.25">
      <c r="A136" s="19">
        <v>129</v>
      </c>
      <c r="B136" s="19" t="s">
        <v>59</v>
      </c>
      <c r="C136" s="19" t="s">
        <v>98</v>
      </c>
      <c r="D136" s="19" t="s">
        <v>99</v>
      </c>
      <c r="E136" s="25" t="s">
        <v>100</v>
      </c>
      <c r="F136" s="25" t="s">
        <v>540</v>
      </c>
      <c r="G136" s="25" t="s">
        <v>97</v>
      </c>
      <c r="H136" s="26">
        <v>42311</v>
      </c>
      <c r="I136" s="25">
        <v>313</v>
      </c>
      <c r="J136" s="25" t="s">
        <v>268</v>
      </c>
      <c r="K136" s="27">
        <v>3209118.5329999998</v>
      </c>
      <c r="L136" s="25">
        <v>187</v>
      </c>
      <c r="M136" s="27">
        <v>67.551491978609604</v>
      </c>
      <c r="N136" s="27">
        <v>65.192499999999995</v>
      </c>
      <c r="O136" s="27">
        <v>90.221936685390688</v>
      </c>
      <c r="P136" s="27">
        <v>3710.1970000000001</v>
      </c>
      <c r="Q136" s="27">
        <v>3198.674</v>
      </c>
      <c r="R136" s="27">
        <v>693806.85399999993</v>
      </c>
      <c r="S136" s="27">
        <f t="shared" ref="S136:S199" si="2">R136/K136</f>
        <v>0.21619857504964277</v>
      </c>
    </row>
    <row r="137" spans="1:19" x14ac:dyDescent="0.25">
      <c r="A137" s="19">
        <v>130</v>
      </c>
      <c r="B137" s="19" t="s">
        <v>59</v>
      </c>
      <c r="C137" s="19" t="s">
        <v>98</v>
      </c>
      <c r="D137" s="19" t="s">
        <v>99</v>
      </c>
      <c r="E137" s="25" t="s">
        <v>100</v>
      </c>
      <c r="F137" s="25" t="s">
        <v>541</v>
      </c>
      <c r="G137" s="25" t="s">
        <v>97</v>
      </c>
      <c r="H137" s="26">
        <v>42311</v>
      </c>
      <c r="I137" s="25">
        <v>314</v>
      </c>
      <c r="J137" s="25" t="s">
        <v>268</v>
      </c>
      <c r="K137" s="27">
        <v>3480987.6540000001</v>
      </c>
      <c r="L137" s="25">
        <v>236</v>
      </c>
      <c r="M137" s="27">
        <v>65.558752118644023</v>
      </c>
      <c r="N137" s="27">
        <v>66.262249999999995</v>
      </c>
      <c r="O137" s="27">
        <v>83.0758053357725</v>
      </c>
      <c r="P137" s="27">
        <v>3374.7289999999998</v>
      </c>
      <c r="Q137" s="27">
        <v>3143.364</v>
      </c>
      <c r="R137" s="27">
        <v>796436.09099999978</v>
      </c>
      <c r="S137" s="27">
        <f t="shared" si="2"/>
        <v>0.22879601140923775</v>
      </c>
    </row>
    <row r="138" spans="1:19" x14ac:dyDescent="0.25">
      <c r="A138" s="19">
        <v>131</v>
      </c>
      <c r="B138" s="19" t="s">
        <v>59</v>
      </c>
      <c r="C138" s="19" t="s">
        <v>98</v>
      </c>
      <c r="D138" s="19" t="s">
        <v>99</v>
      </c>
      <c r="E138" s="25" t="s">
        <v>100</v>
      </c>
      <c r="F138" s="25" t="s">
        <v>542</v>
      </c>
      <c r="G138" s="25" t="s">
        <v>97</v>
      </c>
      <c r="H138" s="26">
        <v>42311</v>
      </c>
      <c r="I138" s="25">
        <v>315</v>
      </c>
      <c r="J138" s="25" t="s">
        <v>342</v>
      </c>
      <c r="K138" s="27">
        <v>4976824.8969999999</v>
      </c>
      <c r="L138" s="25">
        <v>188</v>
      </c>
      <c r="M138" s="27">
        <v>69.161739361702089</v>
      </c>
      <c r="N138" s="27">
        <v>68.852749999999986</v>
      </c>
      <c r="O138" s="27">
        <v>93.291030060260525</v>
      </c>
      <c r="P138" s="27">
        <v>3967.9319999999998</v>
      </c>
      <c r="Q138" s="27">
        <v>3425.6345000000001</v>
      </c>
      <c r="R138" s="27">
        <v>745971.19900000049</v>
      </c>
      <c r="S138" s="27">
        <f t="shared" si="2"/>
        <v>0.14988897830214348</v>
      </c>
    </row>
    <row r="139" spans="1:19" x14ac:dyDescent="0.25">
      <c r="A139" s="19">
        <v>132</v>
      </c>
      <c r="B139" s="19" t="s">
        <v>59</v>
      </c>
      <c r="C139" s="19" t="s">
        <v>98</v>
      </c>
      <c r="D139" s="19" t="s">
        <v>99</v>
      </c>
      <c r="E139" s="25" t="s">
        <v>100</v>
      </c>
      <c r="F139" s="25" t="s">
        <v>543</v>
      </c>
      <c r="G139" s="25" t="s">
        <v>97</v>
      </c>
      <c r="H139" s="26">
        <v>42314</v>
      </c>
      <c r="I139" s="25">
        <v>317</v>
      </c>
      <c r="J139" s="25" t="s">
        <v>268</v>
      </c>
      <c r="K139" s="27">
        <v>4699614.9270000001</v>
      </c>
      <c r="L139" s="25">
        <v>113</v>
      </c>
      <c r="M139" s="27">
        <v>76.820446902654879</v>
      </c>
      <c r="N139" s="27">
        <v>77.489499999999992</v>
      </c>
      <c r="O139" s="27">
        <v>107.05417572855312</v>
      </c>
      <c r="P139" s="27">
        <v>5064.1450000000004</v>
      </c>
      <c r="Q139" s="27">
        <v>4204.7659999999996</v>
      </c>
      <c r="R139" s="27">
        <v>572248.36499999987</v>
      </c>
      <c r="S139" s="27">
        <f t="shared" si="2"/>
        <v>0.12176494753056176</v>
      </c>
    </row>
    <row r="140" spans="1:19" x14ac:dyDescent="0.25">
      <c r="A140" s="19">
        <v>133</v>
      </c>
      <c r="B140" s="19" t="s">
        <v>59</v>
      </c>
      <c r="C140" s="19" t="s">
        <v>98</v>
      </c>
      <c r="D140" s="19" t="s">
        <v>99</v>
      </c>
      <c r="E140" s="25" t="s">
        <v>100</v>
      </c>
      <c r="F140" s="25" t="s">
        <v>544</v>
      </c>
      <c r="G140" s="25" t="s">
        <v>97</v>
      </c>
      <c r="H140" s="26">
        <v>42311</v>
      </c>
      <c r="I140" s="25">
        <v>319</v>
      </c>
      <c r="J140" s="25" t="s">
        <v>267</v>
      </c>
      <c r="K140" s="27">
        <v>5923521.2019999996</v>
      </c>
      <c r="L140" s="25">
        <v>185</v>
      </c>
      <c r="M140" s="27">
        <v>76.544232432432452</v>
      </c>
      <c r="N140" s="27">
        <v>78.607500000000002</v>
      </c>
      <c r="O140" s="27">
        <v>102.65442981612802</v>
      </c>
      <c r="P140" s="27">
        <v>4805.0649999999996</v>
      </c>
      <c r="Q140" s="27">
        <v>4514.9250000000002</v>
      </c>
      <c r="R140" s="27">
        <v>888936.96600000013</v>
      </c>
      <c r="S140" s="27">
        <f t="shared" si="2"/>
        <v>0.15006901059117711</v>
      </c>
    </row>
    <row r="141" spans="1:19" x14ac:dyDescent="0.25">
      <c r="A141" s="19">
        <v>134</v>
      </c>
      <c r="B141" s="19" t="s">
        <v>59</v>
      </c>
      <c r="C141" s="19" t="s">
        <v>98</v>
      </c>
      <c r="D141" s="19" t="s">
        <v>99</v>
      </c>
      <c r="E141" s="25" t="s">
        <v>100</v>
      </c>
      <c r="F141" s="25" t="s">
        <v>545</v>
      </c>
      <c r="G141" s="25" t="s">
        <v>97</v>
      </c>
      <c r="H141" s="26">
        <v>42305</v>
      </c>
      <c r="I141" s="25">
        <v>320</v>
      </c>
      <c r="J141" s="25" t="s">
        <v>546</v>
      </c>
      <c r="K141" s="27">
        <v>4374018.9970000004</v>
      </c>
      <c r="L141" s="25">
        <v>160</v>
      </c>
      <c r="M141" s="27">
        <v>66.139062499999994</v>
      </c>
      <c r="N141" s="27">
        <v>68.8005</v>
      </c>
      <c r="O141" s="27">
        <v>97.636383732731048</v>
      </c>
      <c r="P141" s="27">
        <v>3976.3679999999999</v>
      </c>
      <c r="Q141" s="27">
        <v>3539.0554999999999</v>
      </c>
      <c r="R141" s="27">
        <v>636218.8200000003</v>
      </c>
      <c r="S141" s="27">
        <f t="shared" si="2"/>
        <v>0.14545405962716723</v>
      </c>
    </row>
    <row r="142" spans="1:19" x14ac:dyDescent="0.25">
      <c r="A142" s="19">
        <v>135</v>
      </c>
      <c r="B142" s="19" t="s">
        <v>59</v>
      </c>
      <c r="C142" s="19" t="s">
        <v>98</v>
      </c>
      <c r="D142" s="19" t="s">
        <v>99</v>
      </c>
      <c r="E142" s="25" t="s">
        <v>100</v>
      </c>
      <c r="F142" s="25" t="s">
        <v>547</v>
      </c>
      <c r="G142" s="25" t="s">
        <v>97</v>
      </c>
      <c r="H142" s="26">
        <v>42311</v>
      </c>
      <c r="I142" s="25">
        <v>321</v>
      </c>
      <c r="J142" s="25" t="s">
        <v>377</v>
      </c>
      <c r="K142" s="27">
        <v>5744941.3059999999</v>
      </c>
      <c r="L142" s="25">
        <v>159</v>
      </c>
      <c r="M142" s="27">
        <v>77.559163522012597</v>
      </c>
      <c r="N142" s="27">
        <v>76.650499999999994</v>
      </c>
      <c r="O142" s="27">
        <v>118.52986180985856</v>
      </c>
      <c r="P142" s="27">
        <v>5388.9769999999999</v>
      </c>
      <c r="Q142" s="27">
        <v>4425.5410000000002</v>
      </c>
      <c r="R142" s="27">
        <v>856847.2979999996</v>
      </c>
      <c r="S142" s="27">
        <f t="shared" si="2"/>
        <v>0.14914813787655426</v>
      </c>
    </row>
    <row r="143" spans="1:19" x14ac:dyDescent="0.25">
      <c r="A143" s="19">
        <v>136</v>
      </c>
      <c r="B143" s="19" t="s">
        <v>59</v>
      </c>
      <c r="C143" s="19" t="s">
        <v>98</v>
      </c>
      <c r="D143" s="19" t="s">
        <v>99</v>
      </c>
      <c r="E143" s="25" t="s">
        <v>100</v>
      </c>
      <c r="F143" s="25" t="s">
        <v>548</v>
      </c>
      <c r="G143" s="25" t="s">
        <v>97</v>
      </c>
      <c r="H143" s="26">
        <v>42312</v>
      </c>
      <c r="I143" s="25">
        <v>325</v>
      </c>
      <c r="J143" s="25" t="s">
        <v>268</v>
      </c>
      <c r="K143" s="27">
        <v>4150132.3250000002</v>
      </c>
      <c r="L143" s="25">
        <v>106</v>
      </c>
      <c r="M143" s="27">
        <v>72.30749999999999</v>
      </c>
      <c r="N143" s="27">
        <v>70.280249999999995</v>
      </c>
      <c r="O143" s="27">
        <v>98.950785965240328</v>
      </c>
      <c r="P143" s="27">
        <v>4289.7939999999999</v>
      </c>
      <c r="Q143" s="27">
        <v>3762.8649999999998</v>
      </c>
      <c r="R143" s="27">
        <v>454718.19799999997</v>
      </c>
      <c r="S143" s="27">
        <f t="shared" si="2"/>
        <v>0.10956715651229264</v>
      </c>
    </row>
    <row r="144" spans="1:19" x14ac:dyDescent="0.25">
      <c r="A144" s="19">
        <v>137</v>
      </c>
      <c r="B144" s="19" t="s">
        <v>59</v>
      </c>
      <c r="C144" s="19" t="s">
        <v>98</v>
      </c>
      <c r="D144" s="19" t="s">
        <v>99</v>
      </c>
      <c r="E144" s="25" t="s">
        <v>100</v>
      </c>
      <c r="F144" s="25" t="s">
        <v>549</v>
      </c>
      <c r="G144" s="25" t="s">
        <v>97</v>
      </c>
      <c r="H144" s="26">
        <v>42310</v>
      </c>
      <c r="I144" s="25">
        <v>326</v>
      </c>
      <c r="J144" s="25" t="s">
        <v>267</v>
      </c>
      <c r="K144" s="27">
        <v>5048895.1900000004</v>
      </c>
      <c r="L144" s="25">
        <v>117</v>
      </c>
      <c r="M144" s="27">
        <v>62.658602564102594</v>
      </c>
      <c r="N144" s="27">
        <v>65.108999999999995</v>
      </c>
      <c r="O144" s="27">
        <v>84.112705367946674</v>
      </c>
      <c r="P144" s="27">
        <v>3290.9679999999998</v>
      </c>
      <c r="Q144" s="27">
        <v>3100.6559999999999</v>
      </c>
      <c r="R144" s="27">
        <v>385043.29300000012</v>
      </c>
      <c r="S144" s="27">
        <f t="shared" si="2"/>
        <v>7.6262880988820864E-2</v>
      </c>
    </row>
    <row r="145" spans="1:19" x14ac:dyDescent="0.25">
      <c r="A145" s="19">
        <v>138</v>
      </c>
      <c r="B145" s="19" t="s">
        <v>59</v>
      </c>
      <c r="C145" s="19" t="s">
        <v>98</v>
      </c>
      <c r="D145" s="19" t="s">
        <v>99</v>
      </c>
      <c r="E145" s="25" t="s">
        <v>100</v>
      </c>
      <c r="F145" s="25" t="s">
        <v>550</v>
      </c>
      <c r="G145" s="25" t="s">
        <v>97</v>
      </c>
      <c r="H145" s="26">
        <v>42305</v>
      </c>
      <c r="I145" s="25">
        <v>329</v>
      </c>
      <c r="J145" s="25" t="s">
        <v>268</v>
      </c>
      <c r="K145" s="27">
        <v>5837570.3049999997</v>
      </c>
      <c r="L145" s="25">
        <v>95</v>
      </c>
      <c r="M145" s="27">
        <v>85.878268421052653</v>
      </c>
      <c r="N145" s="27">
        <v>87.049499999999995</v>
      </c>
      <c r="O145" s="27">
        <v>118.55353475721188</v>
      </c>
      <c r="P145" s="27">
        <v>6408.44</v>
      </c>
      <c r="Q145" s="27">
        <v>5704.451</v>
      </c>
      <c r="R145" s="27">
        <v>608801.84000000008</v>
      </c>
      <c r="S145" s="27">
        <f t="shared" si="2"/>
        <v>0.10429027972109367</v>
      </c>
    </row>
    <row r="146" spans="1:19" x14ac:dyDescent="0.25">
      <c r="A146" s="19">
        <v>139</v>
      </c>
      <c r="B146" s="19" t="s">
        <v>59</v>
      </c>
      <c r="C146" s="19" t="s">
        <v>98</v>
      </c>
      <c r="D146" s="19" t="s">
        <v>99</v>
      </c>
      <c r="E146" s="25" t="s">
        <v>100</v>
      </c>
      <c r="F146" s="25" t="s">
        <v>551</v>
      </c>
      <c r="G146" s="25" t="s">
        <v>97</v>
      </c>
      <c r="H146" s="26">
        <v>42311</v>
      </c>
      <c r="I146" s="25">
        <v>330</v>
      </c>
      <c r="J146" s="25" t="s">
        <v>376</v>
      </c>
      <c r="K146" s="27">
        <v>5068055.9639999997</v>
      </c>
      <c r="L146" s="25">
        <v>76</v>
      </c>
      <c r="M146" s="27">
        <v>128.69975657894739</v>
      </c>
      <c r="N146" s="27">
        <v>131.03299999999999</v>
      </c>
      <c r="O146" s="27">
        <v>147.16537161618783</v>
      </c>
      <c r="P146" s="27">
        <v>13123.643</v>
      </c>
      <c r="Q146" s="27">
        <v>12879.763500000001</v>
      </c>
      <c r="R146" s="27">
        <v>997396.90299999982</v>
      </c>
      <c r="S146" s="27">
        <f t="shared" si="2"/>
        <v>0.19680068848584639</v>
      </c>
    </row>
    <row r="147" spans="1:19" x14ac:dyDescent="0.25">
      <c r="A147" s="19">
        <v>140</v>
      </c>
      <c r="B147" s="19" t="s">
        <v>59</v>
      </c>
      <c r="C147" s="19" t="s">
        <v>98</v>
      </c>
      <c r="D147" s="19" t="s">
        <v>99</v>
      </c>
      <c r="E147" s="25" t="s">
        <v>100</v>
      </c>
      <c r="F147" s="25" t="s">
        <v>552</v>
      </c>
      <c r="G147" s="25" t="s">
        <v>97</v>
      </c>
      <c r="H147" s="26">
        <v>42305</v>
      </c>
      <c r="I147" s="25">
        <v>332</v>
      </c>
      <c r="J147" s="25" t="s">
        <v>208</v>
      </c>
      <c r="K147" s="27">
        <v>6646169.3389999997</v>
      </c>
      <c r="L147" s="25">
        <v>202</v>
      </c>
      <c r="M147" s="27">
        <v>75.664594059405971</v>
      </c>
      <c r="N147" s="27">
        <v>65.457250000000002</v>
      </c>
      <c r="O147" s="27">
        <v>133.26001331749654</v>
      </c>
      <c r="P147" s="27">
        <v>5481.9189999999999</v>
      </c>
      <c r="Q147" s="27">
        <v>3260.7529999999997</v>
      </c>
      <c r="R147" s="27">
        <v>1107347.6570000001</v>
      </c>
      <c r="S147" s="27">
        <f t="shared" si="2"/>
        <v>0.16661442110751493</v>
      </c>
    </row>
    <row r="148" spans="1:19" x14ac:dyDescent="0.25">
      <c r="A148" s="19">
        <v>141</v>
      </c>
      <c r="B148" s="19" t="s">
        <v>59</v>
      </c>
      <c r="C148" s="19" t="s">
        <v>98</v>
      </c>
      <c r="D148" s="19" t="s">
        <v>99</v>
      </c>
      <c r="E148" s="25" t="s">
        <v>100</v>
      </c>
      <c r="F148" s="25" t="s">
        <v>554</v>
      </c>
      <c r="G148" s="25" t="s">
        <v>97</v>
      </c>
      <c r="H148" s="26">
        <v>42305</v>
      </c>
      <c r="I148" s="25">
        <v>344</v>
      </c>
      <c r="J148" s="25" t="s">
        <v>268</v>
      </c>
      <c r="K148" s="27">
        <v>4363007.5379999997</v>
      </c>
      <c r="L148" s="25">
        <v>215</v>
      </c>
      <c r="M148" s="27">
        <v>72.750225581395341</v>
      </c>
      <c r="N148" s="27">
        <v>68.548000000000002</v>
      </c>
      <c r="O148" s="27">
        <v>117.18850189836215</v>
      </c>
      <c r="P148" s="27">
        <v>4690.6710000000003</v>
      </c>
      <c r="Q148" s="27">
        <v>3556.9090000000001</v>
      </c>
      <c r="R148" s="27">
        <v>1008494.2509999998</v>
      </c>
      <c r="S148" s="27">
        <f t="shared" si="2"/>
        <v>0.23114657543367276</v>
      </c>
    </row>
    <row r="149" spans="1:19" x14ac:dyDescent="0.25">
      <c r="A149" s="19">
        <v>142</v>
      </c>
      <c r="B149" s="19" t="s">
        <v>59</v>
      </c>
      <c r="C149" s="19" t="s">
        <v>98</v>
      </c>
      <c r="D149" s="19" t="s">
        <v>99</v>
      </c>
      <c r="E149" s="25" t="s">
        <v>100</v>
      </c>
      <c r="F149" s="25" t="s">
        <v>558</v>
      </c>
      <c r="G149" s="25" t="s">
        <v>97</v>
      </c>
      <c r="H149" s="26">
        <v>42308</v>
      </c>
      <c r="I149" s="25">
        <v>348</v>
      </c>
      <c r="J149" s="25" t="s">
        <v>559</v>
      </c>
      <c r="K149" s="27">
        <v>5582398.4220000003</v>
      </c>
      <c r="L149" s="25">
        <v>163</v>
      </c>
      <c r="M149" s="27">
        <v>64.739659509202482</v>
      </c>
      <c r="N149" s="27">
        <v>67.183999999999997</v>
      </c>
      <c r="O149" s="27">
        <v>91.437636158301871</v>
      </c>
      <c r="P149" s="27">
        <v>3699.471</v>
      </c>
      <c r="Q149" s="27">
        <v>3397.0450000000001</v>
      </c>
      <c r="R149" s="27">
        <v>603013.8319999997</v>
      </c>
      <c r="S149" s="27">
        <f t="shared" si="2"/>
        <v>0.10802056507173462</v>
      </c>
    </row>
    <row r="150" spans="1:19" x14ac:dyDescent="0.25">
      <c r="A150" s="19">
        <v>143</v>
      </c>
      <c r="B150" s="19" t="s">
        <v>59</v>
      </c>
      <c r="C150" s="19" t="s">
        <v>98</v>
      </c>
      <c r="D150" s="19" t="s">
        <v>99</v>
      </c>
      <c r="E150" s="25" t="s">
        <v>100</v>
      </c>
      <c r="F150" s="25" t="s">
        <v>565</v>
      </c>
      <c r="G150" s="25" t="s">
        <v>97</v>
      </c>
      <c r="H150" s="26">
        <v>42305</v>
      </c>
      <c r="I150" s="25">
        <v>350</v>
      </c>
      <c r="J150" s="25" t="s">
        <v>349</v>
      </c>
      <c r="K150" s="27">
        <v>5313874.7699999996</v>
      </c>
      <c r="L150" s="25">
        <v>185</v>
      </c>
      <c r="M150" s="27">
        <v>64.789986486486498</v>
      </c>
      <c r="N150" s="27">
        <v>57.591999999999999</v>
      </c>
      <c r="O150" s="27">
        <v>112.24424002665164</v>
      </c>
      <c r="P150" s="27">
        <v>4082.3710000000001</v>
      </c>
      <c r="Q150" s="27">
        <v>2519.0790000000002</v>
      </c>
      <c r="R150" s="27">
        <v>755238.625</v>
      </c>
      <c r="S150" s="27">
        <f t="shared" si="2"/>
        <v>0.14212578536170511</v>
      </c>
    </row>
    <row r="151" spans="1:19" x14ac:dyDescent="0.25">
      <c r="A151" s="19">
        <v>144</v>
      </c>
      <c r="B151" s="19" t="s">
        <v>59</v>
      </c>
      <c r="C151" s="19" t="s">
        <v>98</v>
      </c>
      <c r="D151" s="19" t="s">
        <v>99</v>
      </c>
      <c r="E151" s="25" t="s">
        <v>100</v>
      </c>
      <c r="F151" s="25" t="s">
        <v>566</v>
      </c>
      <c r="G151" s="25" t="s">
        <v>97</v>
      </c>
      <c r="H151" s="26">
        <v>42308</v>
      </c>
      <c r="I151" s="25">
        <v>354</v>
      </c>
      <c r="J151" s="25" t="s">
        <v>185</v>
      </c>
      <c r="K151" s="27">
        <v>4160511.0970000001</v>
      </c>
      <c r="L151" s="25">
        <v>275</v>
      </c>
      <c r="M151" s="27">
        <v>58.45581636363638</v>
      </c>
      <c r="N151" s="27">
        <v>59.375</v>
      </c>
      <c r="O151" s="27">
        <v>68.611712855180016</v>
      </c>
      <c r="P151" s="27">
        <v>2691.3919999999998</v>
      </c>
      <c r="Q151" s="27">
        <v>2656.3049999999998</v>
      </c>
      <c r="R151" s="27">
        <v>740132.79700000014</v>
      </c>
      <c r="S151" s="27">
        <f t="shared" si="2"/>
        <v>0.17789468162545802</v>
      </c>
    </row>
    <row r="152" spans="1:19" x14ac:dyDescent="0.25">
      <c r="A152" s="19">
        <v>145</v>
      </c>
      <c r="B152" s="19" t="s">
        <v>59</v>
      </c>
      <c r="C152" s="19" t="s">
        <v>98</v>
      </c>
      <c r="D152" s="19" t="s">
        <v>99</v>
      </c>
      <c r="E152" s="25" t="s">
        <v>100</v>
      </c>
      <c r="F152" s="25" t="s">
        <v>567</v>
      </c>
      <c r="G152" s="25" t="s">
        <v>97</v>
      </c>
      <c r="H152" s="26">
        <v>42314</v>
      </c>
      <c r="I152" s="25">
        <v>355</v>
      </c>
      <c r="J152" s="25" t="s">
        <v>268</v>
      </c>
      <c r="K152" s="27">
        <v>3161330.486</v>
      </c>
      <c r="L152" s="25">
        <v>162</v>
      </c>
      <c r="M152" s="27">
        <v>61.90602160493826</v>
      </c>
      <c r="N152" s="27">
        <v>63.411000000000001</v>
      </c>
      <c r="O152" s="27">
        <v>81.042795534076092</v>
      </c>
      <c r="P152" s="27">
        <v>3109.527</v>
      </c>
      <c r="Q152" s="27">
        <v>2981.1664999999998</v>
      </c>
      <c r="R152" s="27">
        <v>503743.37800000014</v>
      </c>
      <c r="S152" s="27">
        <f t="shared" si="2"/>
        <v>0.15934537063772211</v>
      </c>
    </row>
    <row r="153" spans="1:19" x14ac:dyDescent="0.25">
      <c r="A153" s="19">
        <v>146</v>
      </c>
      <c r="B153" s="19" t="s">
        <v>59</v>
      </c>
      <c r="C153" s="19" t="s">
        <v>98</v>
      </c>
      <c r="D153" s="19" t="s">
        <v>99</v>
      </c>
      <c r="E153" s="25" t="s">
        <v>100</v>
      </c>
      <c r="F153" s="25" t="s">
        <v>568</v>
      </c>
      <c r="G153" s="25" t="s">
        <v>97</v>
      </c>
      <c r="H153" s="26">
        <v>42308</v>
      </c>
      <c r="I153" s="25">
        <v>356</v>
      </c>
      <c r="J153" s="25" t="s">
        <v>268</v>
      </c>
      <c r="K153" s="27">
        <v>5390963.3830000004</v>
      </c>
      <c r="L153" s="25">
        <v>158</v>
      </c>
      <c r="M153" s="27">
        <v>81.627563291139253</v>
      </c>
      <c r="N153" s="27">
        <v>82.569250000000011</v>
      </c>
      <c r="O153" s="27">
        <v>111.71558407825628</v>
      </c>
      <c r="P153" s="27">
        <v>5617.9430000000002</v>
      </c>
      <c r="Q153" s="27">
        <v>5128.8245000000006</v>
      </c>
      <c r="R153" s="27">
        <v>2754.5569999999998</v>
      </c>
      <c r="S153" s="27">
        <f t="shared" si="2"/>
        <v>5.1095820993447838E-4</v>
      </c>
    </row>
    <row r="154" spans="1:19" x14ac:dyDescent="0.25">
      <c r="A154" s="19">
        <v>147</v>
      </c>
      <c r="B154" s="19" t="s">
        <v>59</v>
      </c>
      <c r="C154" s="19" t="s">
        <v>98</v>
      </c>
      <c r="D154" s="19" t="s">
        <v>99</v>
      </c>
      <c r="E154" s="25" t="s">
        <v>100</v>
      </c>
      <c r="F154" s="25" t="s">
        <v>569</v>
      </c>
      <c r="G154" s="25" t="s">
        <v>97</v>
      </c>
      <c r="H154" s="26">
        <v>42308</v>
      </c>
      <c r="I154" s="25">
        <v>361</v>
      </c>
      <c r="J154" s="25" t="s">
        <v>268</v>
      </c>
      <c r="K154" s="27">
        <v>5318384.4859999996</v>
      </c>
      <c r="L154" s="25">
        <v>123</v>
      </c>
      <c r="M154" s="27">
        <v>88.286434959349634</v>
      </c>
      <c r="N154" s="27">
        <v>87.176500000000004</v>
      </c>
      <c r="O154" s="27">
        <v>121.25644652488907</v>
      </c>
      <c r="P154" s="27">
        <v>6613.3090000000002</v>
      </c>
      <c r="Q154" s="27">
        <v>5660.3419999999996</v>
      </c>
      <c r="R154" s="27">
        <v>813436.95499999961</v>
      </c>
      <c r="S154" s="27">
        <f t="shared" si="2"/>
        <v>0.15294812872993171</v>
      </c>
    </row>
    <row r="155" spans="1:19" x14ac:dyDescent="0.25">
      <c r="A155" s="19">
        <v>148</v>
      </c>
      <c r="B155" s="19" t="s">
        <v>59</v>
      </c>
      <c r="C155" s="19" t="s">
        <v>98</v>
      </c>
      <c r="D155" s="19" t="s">
        <v>99</v>
      </c>
      <c r="E155" s="25" t="s">
        <v>100</v>
      </c>
      <c r="F155" s="25" t="s">
        <v>488</v>
      </c>
      <c r="G155" s="25" t="s">
        <v>97</v>
      </c>
      <c r="H155" s="26">
        <v>42307</v>
      </c>
      <c r="I155" s="25">
        <v>1756</v>
      </c>
      <c r="J155" s="25" t="s">
        <v>277</v>
      </c>
      <c r="K155" s="27">
        <v>5318169.1519999998</v>
      </c>
      <c r="L155" s="25">
        <v>223</v>
      </c>
      <c r="M155" s="27">
        <v>62.423955156950669</v>
      </c>
      <c r="N155" s="27">
        <v>60.494500000000002</v>
      </c>
      <c r="O155" s="27">
        <v>94.625491021734277</v>
      </c>
      <c r="P155" s="27">
        <v>3519.3710000000001</v>
      </c>
      <c r="Q155" s="27">
        <v>2734.4859999999999</v>
      </c>
      <c r="R155" s="27">
        <v>784819.71300000022</v>
      </c>
      <c r="S155" s="27">
        <f t="shared" si="2"/>
        <v>0.14757328895882404</v>
      </c>
    </row>
    <row r="156" spans="1:19" x14ac:dyDescent="0.25">
      <c r="A156" s="19">
        <v>149</v>
      </c>
      <c r="B156" s="19" t="s">
        <v>59</v>
      </c>
      <c r="C156" s="19" t="s">
        <v>98</v>
      </c>
      <c r="D156" s="19" t="s">
        <v>99</v>
      </c>
      <c r="E156" s="25" t="s">
        <v>100</v>
      </c>
      <c r="F156" s="25" t="s">
        <v>489</v>
      </c>
      <c r="G156" s="25" t="s">
        <v>97</v>
      </c>
      <c r="H156" s="26">
        <v>42304</v>
      </c>
      <c r="I156" s="25">
        <v>1772</v>
      </c>
      <c r="J156" s="25" t="s">
        <v>267</v>
      </c>
      <c r="K156" s="27">
        <v>5778350.9529999997</v>
      </c>
      <c r="L156" s="25">
        <v>148</v>
      </c>
      <c r="M156" s="27">
        <v>91.366739864864897</v>
      </c>
      <c r="N156" s="27">
        <v>93.904499999999999</v>
      </c>
      <c r="O156" s="27">
        <v>117.23457098482564</v>
      </c>
      <c r="P156" s="27">
        <v>6864.9430000000002</v>
      </c>
      <c r="Q156" s="27">
        <v>6388.7134999999998</v>
      </c>
      <c r="R156" s="27">
        <v>1016011.5780000003</v>
      </c>
      <c r="S156" s="27">
        <f t="shared" si="2"/>
        <v>0.17583071472536785</v>
      </c>
    </row>
    <row r="157" spans="1:19" x14ac:dyDescent="0.25">
      <c r="A157" s="19">
        <v>150</v>
      </c>
      <c r="B157" s="19" t="s">
        <v>59</v>
      </c>
      <c r="C157" s="19" t="s">
        <v>98</v>
      </c>
      <c r="D157" s="19" t="s">
        <v>99</v>
      </c>
      <c r="E157" s="25" t="s">
        <v>100</v>
      </c>
      <c r="F157" s="25" t="s">
        <v>490</v>
      </c>
      <c r="G157" s="25" t="s">
        <v>97</v>
      </c>
      <c r="H157" s="26">
        <v>42308</v>
      </c>
      <c r="I157" s="25">
        <v>1813</v>
      </c>
      <c r="J157" s="25" t="s">
        <v>228</v>
      </c>
      <c r="K157" s="27">
        <v>3681980.443</v>
      </c>
      <c r="L157" s="25">
        <v>224</v>
      </c>
      <c r="M157" s="27">
        <v>67.368053571428533</v>
      </c>
      <c r="N157" s="27">
        <v>67.44874999999999</v>
      </c>
      <c r="O157" s="27">
        <v>76.708309278951802</v>
      </c>
      <c r="P157" s="27">
        <v>3536.9879999999998</v>
      </c>
      <c r="Q157" s="27">
        <v>3382.6925000000001</v>
      </c>
      <c r="R157" s="27">
        <v>792285.23199999903</v>
      </c>
      <c r="S157" s="27">
        <f t="shared" si="2"/>
        <v>0.21517909838610161</v>
      </c>
    </row>
    <row r="158" spans="1:19" x14ac:dyDescent="0.25">
      <c r="A158" s="19">
        <v>151</v>
      </c>
      <c r="B158" s="19" t="s">
        <v>59</v>
      </c>
      <c r="C158" s="19" t="s">
        <v>98</v>
      </c>
      <c r="D158" s="19" t="s">
        <v>99</v>
      </c>
      <c r="E158" s="25" t="s">
        <v>100</v>
      </c>
      <c r="F158" s="25" t="s">
        <v>491</v>
      </c>
      <c r="G158" s="25" t="s">
        <v>97</v>
      </c>
      <c r="H158" s="26">
        <v>42303</v>
      </c>
      <c r="I158" s="25">
        <v>1829</v>
      </c>
      <c r="J158" s="25" t="s">
        <v>228</v>
      </c>
      <c r="K158" s="27">
        <v>4528609.3020000001</v>
      </c>
      <c r="L158" s="25">
        <v>327</v>
      </c>
      <c r="M158" s="27">
        <v>59.043961773700275</v>
      </c>
      <c r="N158" s="27">
        <v>58.948499999999996</v>
      </c>
      <c r="O158" s="27">
        <v>68.791971066270364</v>
      </c>
      <c r="P158" s="27">
        <v>2735.6669999999999</v>
      </c>
      <c r="Q158" s="27">
        <v>2625.9659999999999</v>
      </c>
      <c r="R158" s="27">
        <v>894563.00300000026</v>
      </c>
      <c r="S158" s="27">
        <f t="shared" si="2"/>
        <v>0.19753591960448616</v>
      </c>
    </row>
    <row r="159" spans="1:19" x14ac:dyDescent="0.25">
      <c r="A159" s="19">
        <v>152</v>
      </c>
      <c r="B159" s="19" t="s">
        <v>59</v>
      </c>
      <c r="C159" s="19" t="s">
        <v>98</v>
      </c>
      <c r="D159" s="19" t="s">
        <v>99</v>
      </c>
      <c r="E159" s="25" t="s">
        <v>100</v>
      </c>
      <c r="F159" s="25" t="s">
        <v>492</v>
      </c>
      <c r="G159" s="25" t="s">
        <v>96</v>
      </c>
      <c r="H159" s="26">
        <v>42303</v>
      </c>
      <c r="I159" s="25">
        <v>1855</v>
      </c>
      <c r="J159" s="25" t="s">
        <v>172</v>
      </c>
      <c r="K159" s="27">
        <v>4920799.085</v>
      </c>
      <c r="L159" s="25">
        <v>137</v>
      </c>
      <c r="M159" s="27">
        <v>70.206901459853981</v>
      </c>
      <c r="N159" s="27">
        <v>70.131</v>
      </c>
      <c r="O159" s="27">
        <v>94.523167732785495</v>
      </c>
      <c r="P159" s="27">
        <v>4091.3560000000002</v>
      </c>
      <c r="Q159" s="27">
        <v>3733.8090000000002</v>
      </c>
      <c r="R159" s="27">
        <v>560515.76</v>
      </c>
      <c r="S159" s="27">
        <f t="shared" si="2"/>
        <v>0.11390746712431564</v>
      </c>
    </row>
    <row r="160" spans="1:19" x14ac:dyDescent="0.25">
      <c r="A160" s="19">
        <v>153</v>
      </c>
      <c r="B160" s="19" t="s">
        <v>59</v>
      </c>
      <c r="C160" s="19" t="s">
        <v>98</v>
      </c>
      <c r="D160" s="19" t="s">
        <v>99</v>
      </c>
      <c r="E160" s="25" t="s">
        <v>100</v>
      </c>
      <c r="F160" s="25" t="s">
        <v>526</v>
      </c>
      <c r="G160" s="25" t="s">
        <v>97</v>
      </c>
      <c r="H160" s="26">
        <v>42314</v>
      </c>
      <c r="I160" s="25">
        <v>2684</v>
      </c>
      <c r="J160" s="25" t="s">
        <v>268</v>
      </c>
      <c r="K160" s="27">
        <v>3701973.9079999998</v>
      </c>
      <c r="L160" s="25">
        <v>174</v>
      </c>
      <c r="M160" s="27">
        <v>65.321755747126389</v>
      </c>
      <c r="N160" s="27">
        <v>63.896500000000003</v>
      </c>
      <c r="O160" s="27">
        <v>89.424103498517525</v>
      </c>
      <c r="P160" s="27">
        <v>3520.259</v>
      </c>
      <c r="Q160" s="27">
        <v>3106.8405000000002</v>
      </c>
      <c r="R160" s="27">
        <v>612525.14799999958</v>
      </c>
      <c r="S160" s="27">
        <f t="shared" si="2"/>
        <v>0.16545906676336294</v>
      </c>
    </row>
    <row r="161" spans="1:19" x14ac:dyDescent="0.25">
      <c r="A161" s="19">
        <v>154</v>
      </c>
      <c r="B161" s="19" t="s">
        <v>59</v>
      </c>
      <c r="C161" s="19" t="s">
        <v>98</v>
      </c>
      <c r="D161" s="19" t="s">
        <v>99</v>
      </c>
      <c r="E161" s="25" t="s">
        <v>100</v>
      </c>
      <c r="F161" s="25" t="s">
        <v>527</v>
      </c>
      <c r="G161" s="25" t="s">
        <v>97</v>
      </c>
      <c r="H161" s="26">
        <v>42308</v>
      </c>
      <c r="I161" s="25">
        <v>2686</v>
      </c>
      <c r="J161" s="25" t="s">
        <v>268</v>
      </c>
      <c r="K161" s="27">
        <v>6299931.1540000001</v>
      </c>
      <c r="L161" s="25">
        <v>129</v>
      </c>
      <c r="M161" s="27">
        <v>83.633511627906955</v>
      </c>
      <c r="N161" s="27">
        <v>83.268000000000001</v>
      </c>
      <c r="O161" s="27">
        <v>122.40614963044348</v>
      </c>
      <c r="P161" s="27">
        <v>6141.1559999999999</v>
      </c>
      <c r="Q161" s="27">
        <v>5100.2359999999999</v>
      </c>
      <c r="R161" s="27">
        <v>792209.15200000035</v>
      </c>
      <c r="S161" s="27">
        <f t="shared" si="2"/>
        <v>0.12574885861998744</v>
      </c>
    </row>
    <row r="162" spans="1:19" x14ac:dyDescent="0.25">
      <c r="A162" s="19">
        <v>155</v>
      </c>
      <c r="B162" s="19" t="s">
        <v>59</v>
      </c>
      <c r="C162" s="19" t="s">
        <v>98</v>
      </c>
      <c r="D162" s="19" t="s">
        <v>99</v>
      </c>
      <c r="E162" s="25" t="s">
        <v>100</v>
      </c>
      <c r="F162" s="25" t="s">
        <v>528</v>
      </c>
      <c r="G162" s="25" t="s">
        <v>97</v>
      </c>
      <c r="H162" s="26">
        <v>42310</v>
      </c>
      <c r="I162" s="25">
        <v>2688</v>
      </c>
      <c r="J162" s="25" t="s">
        <v>268</v>
      </c>
      <c r="K162" s="27">
        <v>5957265.2800000003</v>
      </c>
      <c r="L162" s="25">
        <v>159</v>
      </c>
      <c r="M162" s="27">
        <v>72.680273584905692</v>
      </c>
      <c r="N162" s="27">
        <v>73.545500000000004</v>
      </c>
      <c r="O162" s="27">
        <v>100.89802541846136</v>
      </c>
      <c r="P162" s="27">
        <v>4586.3720000000003</v>
      </c>
      <c r="Q162" s="27">
        <v>4096.4780000000001</v>
      </c>
      <c r="R162" s="27">
        <v>729233.11599999992</v>
      </c>
      <c r="S162" s="27">
        <f t="shared" si="2"/>
        <v>0.12241071728805065</v>
      </c>
    </row>
    <row r="163" spans="1:19" x14ac:dyDescent="0.25">
      <c r="A163" s="19">
        <v>156</v>
      </c>
      <c r="B163" s="19" t="s">
        <v>59</v>
      </c>
      <c r="C163" s="19" t="s">
        <v>98</v>
      </c>
      <c r="D163" s="19" t="s">
        <v>99</v>
      </c>
      <c r="E163" s="25" t="s">
        <v>100</v>
      </c>
      <c r="F163" s="25" t="s">
        <v>529</v>
      </c>
      <c r="G163" s="25" t="s">
        <v>97</v>
      </c>
      <c r="H163" s="26">
        <v>42308</v>
      </c>
      <c r="I163" s="25">
        <v>2689</v>
      </c>
      <c r="J163" s="25" t="s">
        <v>349</v>
      </c>
      <c r="K163" s="27">
        <v>4876116.8289999999</v>
      </c>
      <c r="L163" s="25">
        <v>122</v>
      </c>
      <c r="M163" s="27">
        <v>73.107770491803308</v>
      </c>
      <c r="N163" s="27">
        <v>80.717999999999989</v>
      </c>
      <c r="O163" s="27">
        <v>101.04676431383437</v>
      </c>
      <c r="P163" s="27">
        <v>4756.3059999999996</v>
      </c>
      <c r="Q163" s="27">
        <v>4932.3204999999998</v>
      </c>
      <c r="R163" s="27">
        <v>8919.1480000000029</v>
      </c>
      <c r="S163" s="27">
        <f t="shared" si="2"/>
        <v>1.8291497748689407E-3</v>
      </c>
    </row>
    <row r="164" spans="1:19" x14ac:dyDescent="0.25">
      <c r="A164" s="19">
        <v>157</v>
      </c>
      <c r="B164" s="19" t="s">
        <v>59</v>
      </c>
      <c r="C164" s="19" t="s">
        <v>98</v>
      </c>
      <c r="D164" s="19" t="s">
        <v>99</v>
      </c>
      <c r="E164" s="25" t="s">
        <v>100</v>
      </c>
      <c r="F164" s="25" t="s">
        <v>530</v>
      </c>
      <c r="G164" s="25" t="s">
        <v>97</v>
      </c>
      <c r="H164" s="26">
        <v>42311</v>
      </c>
      <c r="I164" s="25">
        <v>2690</v>
      </c>
      <c r="J164" s="25" t="s">
        <v>268</v>
      </c>
      <c r="K164" s="27">
        <v>5497431.2120000003</v>
      </c>
      <c r="L164" s="25">
        <v>107</v>
      </c>
      <c r="M164" s="27">
        <v>88.313098130841112</v>
      </c>
      <c r="N164" s="27">
        <v>87.54249999999999</v>
      </c>
      <c r="O164" s="27">
        <v>112.98382000125464</v>
      </c>
      <c r="P164" s="27">
        <v>6338.8950000000004</v>
      </c>
      <c r="Q164" s="27">
        <v>5543.6530000000002</v>
      </c>
      <c r="R164" s="27">
        <v>678261.80399999989</v>
      </c>
      <c r="S164" s="27">
        <f t="shared" si="2"/>
        <v>0.12337795196408541</v>
      </c>
    </row>
    <row r="165" spans="1:19" x14ac:dyDescent="0.25">
      <c r="A165" s="19">
        <v>158</v>
      </c>
      <c r="B165" s="19" t="s">
        <v>59</v>
      </c>
      <c r="C165" s="19" t="s">
        <v>98</v>
      </c>
      <c r="D165" s="19" t="s">
        <v>99</v>
      </c>
      <c r="E165" s="25" t="s">
        <v>100</v>
      </c>
      <c r="F165" s="25" t="s">
        <v>531</v>
      </c>
      <c r="G165" s="25" t="s">
        <v>97</v>
      </c>
      <c r="H165" s="26">
        <v>42310</v>
      </c>
      <c r="I165" s="25">
        <v>2691</v>
      </c>
      <c r="J165" s="25" t="s">
        <v>50</v>
      </c>
      <c r="K165" s="27">
        <v>5742534.4819999998</v>
      </c>
      <c r="L165" s="25">
        <v>120</v>
      </c>
      <c r="M165" s="27">
        <v>86.976520833333325</v>
      </c>
      <c r="N165" s="27">
        <v>95.704999999999998</v>
      </c>
      <c r="O165" s="27">
        <v>108.47452951773208</v>
      </c>
      <c r="P165" s="27">
        <v>6264.11</v>
      </c>
      <c r="Q165" s="27">
        <v>6989.8950000000004</v>
      </c>
      <c r="R165" s="27">
        <v>751693.15400000045</v>
      </c>
      <c r="S165" s="27">
        <f t="shared" si="2"/>
        <v>0.13089919727189903</v>
      </c>
    </row>
    <row r="166" spans="1:19" x14ac:dyDescent="0.25">
      <c r="A166" s="19">
        <v>159</v>
      </c>
      <c r="B166" s="19" t="s">
        <v>59</v>
      </c>
      <c r="C166" s="19" t="s">
        <v>98</v>
      </c>
      <c r="D166" s="19" t="s">
        <v>99</v>
      </c>
      <c r="E166" s="25" t="s">
        <v>100</v>
      </c>
      <c r="F166" s="25" t="s">
        <v>532</v>
      </c>
      <c r="G166" s="25" t="s">
        <v>97</v>
      </c>
      <c r="H166" s="26">
        <v>42308</v>
      </c>
      <c r="I166" s="25">
        <v>2705</v>
      </c>
      <c r="J166" s="25" t="s">
        <v>260</v>
      </c>
      <c r="K166" s="27">
        <v>5473700.2029999997</v>
      </c>
      <c r="L166" s="25">
        <v>125</v>
      </c>
      <c r="M166" s="27">
        <v>76.76226000000004</v>
      </c>
      <c r="N166" s="27">
        <v>81.878</v>
      </c>
      <c r="O166" s="27">
        <v>94.727753896977447</v>
      </c>
      <c r="P166" s="27">
        <v>4872.7</v>
      </c>
      <c r="Q166" s="27">
        <v>5007.1180000000004</v>
      </c>
      <c r="R166" s="27">
        <v>609087.4920000002</v>
      </c>
      <c r="S166" s="27">
        <f t="shared" si="2"/>
        <v>0.11127527438681688</v>
      </c>
    </row>
    <row r="167" spans="1:19" x14ac:dyDescent="0.25">
      <c r="A167" s="19">
        <v>160</v>
      </c>
      <c r="B167" s="19" t="s">
        <v>59</v>
      </c>
      <c r="C167" s="19" t="s">
        <v>98</v>
      </c>
      <c r="D167" s="19" t="s">
        <v>99</v>
      </c>
      <c r="E167" s="25" t="s">
        <v>100</v>
      </c>
      <c r="F167" s="25" t="s">
        <v>102</v>
      </c>
      <c r="G167" s="25" t="s">
        <v>97</v>
      </c>
      <c r="H167" s="26">
        <v>42310</v>
      </c>
      <c r="I167" s="25">
        <v>3300</v>
      </c>
      <c r="J167" s="25" t="s">
        <v>50</v>
      </c>
      <c r="K167" s="27">
        <v>4664706.0609999998</v>
      </c>
      <c r="L167" s="25">
        <v>123</v>
      </c>
      <c r="M167" s="27">
        <v>82.097626016260136</v>
      </c>
      <c r="N167" s="27">
        <v>83.212999999999994</v>
      </c>
      <c r="O167" s="27">
        <v>117.78879182530234</v>
      </c>
      <c r="P167" s="27">
        <v>5910.6790000000001</v>
      </c>
      <c r="Q167" s="27">
        <v>5011.3190000000004</v>
      </c>
      <c r="R167" s="27">
        <v>727013.46199999994</v>
      </c>
      <c r="S167" s="27">
        <f t="shared" si="2"/>
        <v>0.15585407794036779</v>
      </c>
    </row>
    <row r="168" spans="1:19" x14ac:dyDescent="0.25">
      <c r="A168" s="19">
        <v>161</v>
      </c>
      <c r="B168" s="19" t="s">
        <v>59</v>
      </c>
      <c r="C168" s="19" t="s">
        <v>98</v>
      </c>
      <c r="D168" s="19" t="s">
        <v>99</v>
      </c>
      <c r="E168" s="25" t="s">
        <v>100</v>
      </c>
      <c r="F168" s="25" t="s">
        <v>553</v>
      </c>
      <c r="G168" s="25" t="s">
        <v>97</v>
      </c>
      <c r="H168" s="26">
        <v>42308</v>
      </c>
      <c r="I168" s="25">
        <v>3411</v>
      </c>
      <c r="J168" s="25" t="s">
        <v>201</v>
      </c>
      <c r="K168" s="27">
        <v>6317164.4610000001</v>
      </c>
      <c r="L168" s="25">
        <v>100</v>
      </c>
      <c r="M168" s="27">
        <v>81.015020000000035</v>
      </c>
      <c r="N168" s="27">
        <v>80.253250000000008</v>
      </c>
      <c r="O168" s="27">
        <v>106.74418141858636</v>
      </c>
      <c r="P168" s="27">
        <v>5536.23</v>
      </c>
      <c r="Q168" s="27">
        <v>4863.4740000000002</v>
      </c>
      <c r="R168" s="27">
        <v>553622.95399999979</v>
      </c>
      <c r="S168" s="27">
        <f t="shared" si="2"/>
        <v>8.7637888394053606E-2</v>
      </c>
    </row>
    <row r="169" spans="1:19" x14ac:dyDescent="0.25">
      <c r="A169" s="19">
        <v>162</v>
      </c>
      <c r="B169" s="19" t="s">
        <v>59</v>
      </c>
      <c r="C169" s="19" t="s">
        <v>98</v>
      </c>
      <c r="D169" s="19" t="s">
        <v>99</v>
      </c>
      <c r="E169" s="25" t="s">
        <v>100</v>
      </c>
      <c r="F169" s="25" t="s">
        <v>555</v>
      </c>
      <c r="G169" s="25" t="s">
        <v>96</v>
      </c>
      <c r="H169" s="26">
        <v>42301</v>
      </c>
      <c r="I169" s="25">
        <v>3480</v>
      </c>
      <c r="J169" s="25" t="s">
        <v>352</v>
      </c>
      <c r="K169" s="27">
        <v>5101508.0870000003</v>
      </c>
      <c r="L169" s="25">
        <v>112</v>
      </c>
      <c r="M169" s="27">
        <v>76.552553571428589</v>
      </c>
      <c r="N169" s="27">
        <v>80.557500000000005</v>
      </c>
      <c r="O169" s="27">
        <v>96.294742784268578</v>
      </c>
      <c r="P169" s="27">
        <v>4918.2219999999998</v>
      </c>
      <c r="Q169" s="27">
        <v>4865.5745000000006</v>
      </c>
      <c r="R169" s="27">
        <v>550840.86400000018</v>
      </c>
      <c r="S169" s="27">
        <f t="shared" si="2"/>
        <v>0.10797608366116075</v>
      </c>
    </row>
    <row r="170" spans="1:19" x14ac:dyDescent="0.25">
      <c r="A170" s="19">
        <v>163</v>
      </c>
      <c r="B170" s="19" t="s">
        <v>59</v>
      </c>
      <c r="C170" s="19" t="s">
        <v>98</v>
      </c>
      <c r="D170" s="19" t="s">
        <v>99</v>
      </c>
      <c r="E170" s="25" t="s">
        <v>100</v>
      </c>
      <c r="F170" s="25" t="s">
        <v>556</v>
      </c>
      <c r="G170" s="25" t="s">
        <v>96</v>
      </c>
      <c r="H170" s="26">
        <v>42304</v>
      </c>
      <c r="I170" s="25">
        <v>3481</v>
      </c>
      <c r="J170" s="25" t="s">
        <v>546</v>
      </c>
      <c r="K170" s="27">
        <v>3726715.676</v>
      </c>
      <c r="L170" s="25">
        <v>95</v>
      </c>
      <c r="M170" s="27">
        <v>71.139973684210545</v>
      </c>
      <c r="N170" s="27">
        <v>76.808499999999995</v>
      </c>
      <c r="O170" s="27">
        <v>98.584928112155765</v>
      </c>
      <c r="P170" s="27">
        <v>4425.2529999999997</v>
      </c>
      <c r="Q170" s="27">
        <v>4132.4179999999997</v>
      </c>
      <c r="R170" s="27">
        <v>420399.07900000014</v>
      </c>
      <c r="S170" s="27">
        <f t="shared" si="2"/>
        <v>0.11280685610318079</v>
      </c>
    </row>
    <row r="171" spans="1:19" x14ac:dyDescent="0.25">
      <c r="A171" s="19">
        <v>164</v>
      </c>
      <c r="B171" s="19" t="s">
        <v>59</v>
      </c>
      <c r="C171" s="19" t="s">
        <v>98</v>
      </c>
      <c r="D171" s="19" t="s">
        <v>99</v>
      </c>
      <c r="E171" s="25" t="s">
        <v>100</v>
      </c>
      <c r="F171" s="25" t="s">
        <v>557</v>
      </c>
      <c r="G171" s="25" t="s">
        <v>96</v>
      </c>
      <c r="H171" s="26">
        <v>42301</v>
      </c>
      <c r="I171" s="25">
        <v>3482</v>
      </c>
      <c r="J171" s="25" t="s">
        <v>337</v>
      </c>
      <c r="K171" s="27">
        <v>4783432.9859999996</v>
      </c>
      <c r="L171" s="25">
        <v>106</v>
      </c>
      <c r="M171" s="27">
        <v>78.330589622641511</v>
      </c>
      <c r="N171" s="27">
        <v>84.398250000000004</v>
      </c>
      <c r="O171" s="27">
        <v>106.16998792629791</v>
      </c>
      <c r="P171" s="27">
        <v>5315.4960000000001</v>
      </c>
      <c r="Q171" s="27">
        <v>5310.509</v>
      </c>
      <c r="R171" s="27">
        <v>563442.55500000028</v>
      </c>
      <c r="S171" s="27">
        <f t="shared" si="2"/>
        <v>0.11779041467687874</v>
      </c>
    </row>
    <row r="172" spans="1:19" x14ac:dyDescent="0.25">
      <c r="A172" s="19">
        <v>165</v>
      </c>
      <c r="B172" s="19" t="s">
        <v>59</v>
      </c>
      <c r="C172" s="19" t="s">
        <v>98</v>
      </c>
      <c r="D172" s="19" t="s">
        <v>99</v>
      </c>
      <c r="E172" s="25" t="s">
        <v>100</v>
      </c>
      <c r="F172" s="25" t="s">
        <v>560</v>
      </c>
      <c r="G172" s="25" t="s">
        <v>97</v>
      </c>
      <c r="H172" s="26">
        <v>42308</v>
      </c>
      <c r="I172" s="25">
        <v>3491</v>
      </c>
      <c r="J172" s="25" t="s">
        <v>292</v>
      </c>
      <c r="K172" s="27">
        <v>5087113.352</v>
      </c>
      <c r="L172" s="25">
        <v>170</v>
      </c>
      <c r="M172" s="27">
        <v>78.336982352941149</v>
      </c>
      <c r="N172" s="27">
        <v>78.44874999999999</v>
      </c>
      <c r="O172" s="27">
        <v>116.70198291599165</v>
      </c>
      <c r="P172" s="27">
        <v>5499.9380000000001</v>
      </c>
      <c r="Q172" s="27">
        <v>4655.8845000000001</v>
      </c>
      <c r="R172" s="27">
        <v>934989.38399999985</v>
      </c>
      <c r="S172" s="27">
        <f t="shared" si="2"/>
        <v>0.18379566549906118</v>
      </c>
    </row>
    <row r="173" spans="1:19" x14ac:dyDescent="0.25">
      <c r="A173" s="19">
        <v>166</v>
      </c>
      <c r="B173" s="19" t="s">
        <v>59</v>
      </c>
      <c r="C173" s="19" t="s">
        <v>98</v>
      </c>
      <c r="D173" s="19" t="s">
        <v>99</v>
      </c>
      <c r="E173" s="25" t="s">
        <v>100</v>
      </c>
      <c r="F173" s="25" t="s">
        <v>103</v>
      </c>
      <c r="G173" s="25" t="s">
        <v>97</v>
      </c>
      <c r="H173" s="26">
        <v>42311</v>
      </c>
      <c r="I173" s="25">
        <v>3494</v>
      </c>
      <c r="J173" s="25" t="s">
        <v>50</v>
      </c>
      <c r="K173" s="27">
        <v>3684954.608</v>
      </c>
      <c r="L173" s="25">
        <v>66</v>
      </c>
      <c r="M173" s="27">
        <v>93.684780303030351</v>
      </c>
      <c r="N173" s="27">
        <v>96.399000000000001</v>
      </c>
      <c r="O173" s="27">
        <v>112.31252427032391</v>
      </c>
      <c r="P173" s="27">
        <v>6934.4889999999996</v>
      </c>
      <c r="Q173" s="27">
        <v>6727.2285000000002</v>
      </c>
      <c r="R173" s="27">
        <v>457676.25999999989</v>
      </c>
      <c r="S173" s="27">
        <f t="shared" si="2"/>
        <v>0.12420132910359039</v>
      </c>
    </row>
    <row r="174" spans="1:19" x14ac:dyDescent="0.25">
      <c r="A174" s="19">
        <v>167</v>
      </c>
      <c r="B174" s="19" t="s">
        <v>59</v>
      </c>
      <c r="C174" s="19" t="s">
        <v>98</v>
      </c>
      <c r="D174" s="19" t="s">
        <v>99</v>
      </c>
      <c r="E174" s="25" t="s">
        <v>100</v>
      </c>
      <c r="F174" s="25" t="s">
        <v>561</v>
      </c>
      <c r="G174" s="25" t="s">
        <v>96</v>
      </c>
      <c r="H174" s="26">
        <v>42307</v>
      </c>
      <c r="I174" s="25">
        <v>3495</v>
      </c>
      <c r="J174" s="25" t="s">
        <v>381</v>
      </c>
      <c r="K174" s="27">
        <v>4904050.2699999996</v>
      </c>
      <c r="L174" s="25">
        <v>75</v>
      </c>
      <c r="M174" s="27">
        <v>87.143866666666639</v>
      </c>
      <c r="N174" s="27">
        <v>83.587999999999994</v>
      </c>
      <c r="O174" s="27">
        <v>118.43528447165033</v>
      </c>
      <c r="P174" s="27">
        <v>6399.1189999999997</v>
      </c>
      <c r="Q174" s="27">
        <v>5427.665</v>
      </c>
      <c r="R174" s="27">
        <v>479933.95600000012</v>
      </c>
      <c r="S174" s="27">
        <f t="shared" si="2"/>
        <v>9.7864811650880609E-2</v>
      </c>
    </row>
    <row r="175" spans="1:19" x14ac:dyDescent="0.25">
      <c r="A175" s="19">
        <v>168</v>
      </c>
      <c r="B175" s="19" t="s">
        <v>59</v>
      </c>
      <c r="C175" s="19" t="s">
        <v>98</v>
      </c>
      <c r="D175" s="19" t="s">
        <v>99</v>
      </c>
      <c r="E175" s="25" t="s">
        <v>100</v>
      </c>
      <c r="F175" s="25" t="s">
        <v>562</v>
      </c>
      <c r="G175" s="25" t="s">
        <v>97</v>
      </c>
      <c r="H175" s="26">
        <v>42305</v>
      </c>
      <c r="I175" s="25">
        <v>3496</v>
      </c>
      <c r="J175" s="25" t="s">
        <v>228</v>
      </c>
      <c r="K175" s="27">
        <v>3691792.807</v>
      </c>
      <c r="L175" s="25">
        <v>202</v>
      </c>
      <c r="M175" s="27">
        <v>64.567856435643534</v>
      </c>
      <c r="N175" s="27">
        <v>66.901499999999999</v>
      </c>
      <c r="O175" s="27">
        <v>74.55712459225839</v>
      </c>
      <c r="P175" s="27">
        <v>3299.2530000000002</v>
      </c>
      <c r="Q175" s="27">
        <v>3362.5055000000002</v>
      </c>
      <c r="R175" s="27">
        <v>666449.1589999994</v>
      </c>
      <c r="S175" s="27">
        <f t="shared" si="2"/>
        <v>0.18052182065481753</v>
      </c>
    </row>
    <row r="176" spans="1:19" x14ac:dyDescent="0.25">
      <c r="A176" s="19">
        <v>169</v>
      </c>
      <c r="B176" s="19" t="s">
        <v>59</v>
      </c>
      <c r="C176" s="19" t="s">
        <v>98</v>
      </c>
      <c r="D176" s="19" t="s">
        <v>99</v>
      </c>
      <c r="E176" s="25" t="s">
        <v>100</v>
      </c>
      <c r="F176" s="25" t="s">
        <v>563</v>
      </c>
      <c r="G176" s="25" t="s">
        <v>96</v>
      </c>
      <c r="H176" s="26">
        <v>42307</v>
      </c>
      <c r="I176" s="25">
        <v>3497</v>
      </c>
      <c r="J176" s="25" t="s">
        <v>268</v>
      </c>
      <c r="K176" s="27">
        <v>4647246.6100000003</v>
      </c>
      <c r="L176" s="25">
        <v>86</v>
      </c>
      <c r="M176" s="27">
        <v>80.82999418604652</v>
      </c>
      <c r="N176" s="27">
        <v>82.898499999999999</v>
      </c>
      <c r="O176" s="27">
        <v>112.25011578296198</v>
      </c>
      <c r="P176" s="27">
        <v>5779.5060000000003</v>
      </c>
      <c r="Q176" s="27">
        <v>5358.9349999999995</v>
      </c>
      <c r="R176" s="27">
        <v>497037.50300000003</v>
      </c>
      <c r="S176" s="27">
        <f t="shared" si="2"/>
        <v>0.10695311540611356</v>
      </c>
    </row>
    <row r="177" spans="1:19" x14ac:dyDescent="0.25">
      <c r="A177" s="19">
        <v>170</v>
      </c>
      <c r="B177" s="19" t="s">
        <v>59</v>
      </c>
      <c r="C177" s="19" t="s">
        <v>98</v>
      </c>
      <c r="D177" s="19" t="s">
        <v>99</v>
      </c>
      <c r="E177" s="25" t="s">
        <v>100</v>
      </c>
      <c r="F177" s="25" t="s">
        <v>564</v>
      </c>
      <c r="G177" s="25" t="s">
        <v>97</v>
      </c>
      <c r="H177" s="26">
        <v>42308</v>
      </c>
      <c r="I177" s="25">
        <v>3498</v>
      </c>
      <c r="J177" s="25" t="s">
        <v>268</v>
      </c>
      <c r="K177" s="27">
        <v>4963931.4800000004</v>
      </c>
      <c r="L177" s="25">
        <v>147</v>
      </c>
      <c r="M177" s="27">
        <v>73.824139455782344</v>
      </c>
      <c r="N177" s="27">
        <v>69.593000000000004</v>
      </c>
      <c r="O177" s="27">
        <v>117.53980158285069</v>
      </c>
      <c r="P177" s="27">
        <v>4751.5420000000004</v>
      </c>
      <c r="Q177" s="27">
        <v>3486.6619999999998</v>
      </c>
      <c r="R177" s="27">
        <v>698476.74099999992</v>
      </c>
      <c r="S177" s="27">
        <f t="shared" si="2"/>
        <v>0.14071039131265362</v>
      </c>
    </row>
    <row r="178" spans="1:19" x14ac:dyDescent="0.25">
      <c r="A178" s="19">
        <v>171</v>
      </c>
      <c r="B178" s="19" t="s">
        <v>60</v>
      </c>
      <c r="C178" s="19" t="s">
        <v>98</v>
      </c>
      <c r="D178" s="19" t="s">
        <v>104</v>
      </c>
      <c r="E178" s="25" t="s">
        <v>105</v>
      </c>
      <c r="F178" s="25" t="s">
        <v>587</v>
      </c>
      <c r="G178" s="25" t="s">
        <v>97</v>
      </c>
      <c r="H178" s="26">
        <v>42296</v>
      </c>
      <c r="I178" s="25">
        <v>381</v>
      </c>
      <c r="J178" s="25" t="s">
        <v>259</v>
      </c>
      <c r="K178" s="27">
        <v>4898446.4050000003</v>
      </c>
      <c r="L178" s="25">
        <v>157</v>
      </c>
      <c r="M178" s="27">
        <v>71.605207006369398</v>
      </c>
      <c r="N178" s="27">
        <v>72.200500000000005</v>
      </c>
      <c r="O178" s="27">
        <v>78.148574315797504</v>
      </c>
      <c r="P178" s="27">
        <v>3956.3119999999999</v>
      </c>
      <c r="Q178" s="27">
        <v>3940.5819999999999</v>
      </c>
      <c r="R178" s="27">
        <v>621140.99</v>
      </c>
      <c r="S178" s="27">
        <f t="shared" si="2"/>
        <v>0.12680367174498053</v>
      </c>
    </row>
    <row r="179" spans="1:19" x14ac:dyDescent="0.25">
      <c r="A179" s="19">
        <v>172</v>
      </c>
      <c r="B179" s="19" t="s">
        <v>60</v>
      </c>
      <c r="C179" s="19" t="s">
        <v>98</v>
      </c>
      <c r="D179" s="19" t="s">
        <v>104</v>
      </c>
      <c r="E179" s="25" t="s">
        <v>105</v>
      </c>
      <c r="F179" s="25" t="s">
        <v>588</v>
      </c>
      <c r="G179" s="25" t="s">
        <v>96</v>
      </c>
      <c r="H179" s="26">
        <v>42293</v>
      </c>
      <c r="I179" s="25">
        <v>392</v>
      </c>
      <c r="J179" s="25" t="s">
        <v>152</v>
      </c>
      <c r="K179" s="27">
        <v>4087410.6749999998</v>
      </c>
      <c r="L179" s="25">
        <v>70</v>
      </c>
      <c r="M179" s="27">
        <v>92.385621428571426</v>
      </c>
      <c r="N179" s="27">
        <v>102.1015</v>
      </c>
      <c r="O179" s="27">
        <v>112.32602812839889</v>
      </c>
      <c r="P179" s="27">
        <v>7173.4530000000004</v>
      </c>
      <c r="Q179" s="27">
        <v>7920.6049999999996</v>
      </c>
      <c r="R179" s="27">
        <v>502141.70499999973</v>
      </c>
      <c r="S179" s="27">
        <f t="shared" si="2"/>
        <v>0.12285080823203549</v>
      </c>
    </row>
    <row r="180" spans="1:19" x14ac:dyDescent="0.25">
      <c r="A180" s="19">
        <v>173</v>
      </c>
      <c r="B180" s="19" t="s">
        <v>60</v>
      </c>
      <c r="C180" s="19" t="s">
        <v>98</v>
      </c>
      <c r="D180" s="19" t="s">
        <v>104</v>
      </c>
      <c r="E180" s="25" t="s">
        <v>105</v>
      </c>
      <c r="F180" s="25" t="s">
        <v>589</v>
      </c>
      <c r="G180" s="25" t="s">
        <v>96</v>
      </c>
      <c r="H180" s="26">
        <v>42298</v>
      </c>
      <c r="I180" s="25">
        <v>393</v>
      </c>
      <c r="J180" s="25" t="s">
        <v>205</v>
      </c>
      <c r="K180" s="27">
        <v>3367661.5559999999</v>
      </c>
      <c r="L180" s="25">
        <v>80</v>
      </c>
      <c r="M180" s="27">
        <v>72.622274999999988</v>
      </c>
      <c r="N180" s="27">
        <v>73.706250000000011</v>
      </c>
      <c r="O180" s="27">
        <v>86.58201256051521</v>
      </c>
      <c r="P180" s="27">
        <v>4234.8649999999998</v>
      </c>
      <c r="Q180" s="27">
        <v>4131.018</v>
      </c>
      <c r="R180" s="27">
        <v>338789.23599999992</v>
      </c>
      <c r="S180" s="27">
        <f t="shared" si="2"/>
        <v>0.10060073744536338</v>
      </c>
    </row>
    <row r="181" spans="1:19" x14ac:dyDescent="0.25">
      <c r="A181" s="19">
        <v>174</v>
      </c>
      <c r="B181" s="19" t="s">
        <v>60</v>
      </c>
      <c r="C181" s="19" t="s">
        <v>98</v>
      </c>
      <c r="D181" s="19" t="s">
        <v>104</v>
      </c>
      <c r="E181" s="25" t="s">
        <v>105</v>
      </c>
      <c r="F181" s="25" t="s">
        <v>590</v>
      </c>
      <c r="G181" s="25" t="s">
        <v>97</v>
      </c>
      <c r="H181" s="26">
        <v>42293</v>
      </c>
      <c r="I181" s="25">
        <v>397</v>
      </c>
      <c r="J181" s="25" t="s">
        <v>233</v>
      </c>
      <c r="K181" s="27">
        <v>4856546.01</v>
      </c>
      <c r="L181" s="25">
        <v>212</v>
      </c>
      <c r="M181" s="27">
        <v>67.398261792452843</v>
      </c>
      <c r="N181" s="27">
        <v>69.13300000000001</v>
      </c>
      <c r="O181" s="27">
        <v>83.381260108637619</v>
      </c>
      <c r="P181" s="27">
        <v>3635.2249999999999</v>
      </c>
      <c r="Q181" s="27">
        <v>3563.0934999999999</v>
      </c>
      <c r="R181" s="27">
        <v>770667.69800000044</v>
      </c>
      <c r="S181" s="27">
        <f t="shared" si="2"/>
        <v>0.15868637842885391</v>
      </c>
    </row>
    <row r="182" spans="1:19" x14ac:dyDescent="0.25">
      <c r="A182" s="19">
        <v>175</v>
      </c>
      <c r="B182" s="19" t="s">
        <v>60</v>
      </c>
      <c r="C182" s="19" t="s">
        <v>98</v>
      </c>
      <c r="D182" s="19" t="s">
        <v>104</v>
      </c>
      <c r="E182" s="25" t="s">
        <v>105</v>
      </c>
      <c r="F182" s="25" t="s">
        <v>591</v>
      </c>
      <c r="G182" s="25" t="s">
        <v>97</v>
      </c>
      <c r="H182" s="26">
        <v>42293</v>
      </c>
      <c r="I182" s="25">
        <v>399</v>
      </c>
      <c r="J182" s="25" t="s">
        <v>346</v>
      </c>
      <c r="K182" s="27">
        <v>3642056.057</v>
      </c>
      <c r="L182" s="25">
        <v>89</v>
      </c>
      <c r="M182" s="27">
        <v>78.974741573033711</v>
      </c>
      <c r="N182" s="27">
        <v>84.889499999999998</v>
      </c>
      <c r="O182" s="27">
        <v>101.33522120026591</v>
      </c>
      <c r="P182" s="27">
        <v>5191.9369999999999</v>
      </c>
      <c r="Q182" s="27">
        <v>5141.0770000000002</v>
      </c>
      <c r="R182" s="27">
        <v>462082.4329999999</v>
      </c>
      <c r="S182" s="27">
        <f t="shared" si="2"/>
        <v>0.12687405843517469</v>
      </c>
    </row>
    <row r="183" spans="1:19" x14ac:dyDescent="0.25">
      <c r="A183" s="19">
        <v>176</v>
      </c>
      <c r="B183" s="19" t="s">
        <v>60</v>
      </c>
      <c r="C183" s="19" t="s">
        <v>98</v>
      </c>
      <c r="D183" s="19" t="s">
        <v>104</v>
      </c>
      <c r="E183" s="25" t="s">
        <v>105</v>
      </c>
      <c r="F183" s="25" t="s">
        <v>594</v>
      </c>
      <c r="G183" s="25" t="s">
        <v>96</v>
      </c>
      <c r="H183" s="26">
        <v>42293</v>
      </c>
      <c r="I183" s="25">
        <v>400</v>
      </c>
      <c r="J183" s="25" t="s">
        <v>593</v>
      </c>
      <c r="K183" s="27">
        <v>7263638.8250000002</v>
      </c>
      <c r="L183" s="25">
        <v>105</v>
      </c>
      <c r="M183" s="27">
        <v>81.205523809523825</v>
      </c>
      <c r="N183" s="27">
        <v>82.856499999999997</v>
      </c>
      <c r="O183" s="27">
        <v>122.10339824607593</v>
      </c>
      <c r="P183" s="27">
        <v>5924.7169999999996</v>
      </c>
      <c r="Q183" s="27">
        <v>5323.5780000000004</v>
      </c>
      <c r="R183" s="27">
        <v>622095.26500000013</v>
      </c>
      <c r="S183" s="27">
        <f t="shared" si="2"/>
        <v>8.5645126359927479E-2</v>
      </c>
    </row>
    <row r="184" spans="1:19" x14ac:dyDescent="0.25">
      <c r="A184" s="19">
        <v>177</v>
      </c>
      <c r="B184" s="19" t="s">
        <v>60</v>
      </c>
      <c r="C184" s="19" t="s">
        <v>98</v>
      </c>
      <c r="D184" s="19" t="s">
        <v>104</v>
      </c>
      <c r="E184" s="25" t="s">
        <v>105</v>
      </c>
      <c r="F184" s="25" t="s">
        <v>592</v>
      </c>
      <c r="G184" s="25" t="s">
        <v>97</v>
      </c>
      <c r="H184" s="26">
        <v>42293</v>
      </c>
      <c r="I184" s="25">
        <v>400</v>
      </c>
      <c r="J184" s="25" t="s">
        <v>593</v>
      </c>
      <c r="K184" s="27">
        <v>4199918.0839999998</v>
      </c>
      <c r="L184" s="25">
        <v>91</v>
      </c>
      <c r="M184" s="27">
        <v>77.198967032967019</v>
      </c>
      <c r="N184" s="27">
        <v>79.13300000000001</v>
      </c>
      <c r="O184" s="27">
        <v>114.14531357894511</v>
      </c>
      <c r="P184" s="27">
        <v>5420.3559999999998</v>
      </c>
      <c r="Q184" s="27">
        <v>4794.0439999999999</v>
      </c>
      <c r="R184" s="27">
        <v>493252.35700000013</v>
      </c>
      <c r="S184" s="27">
        <f t="shared" si="2"/>
        <v>0.11744332797325105</v>
      </c>
    </row>
    <row r="185" spans="1:19" x14ac:dyDescent="0.25">
      <c r="A185" s="19">
        <v>178</v>
      </c>
      <c r="B185" s="19" t="s">
        <v>60</v>
      </c>
      <c r="C185" s="19" t="s">
        <v>98</v>
      </c>
      <c r="D185" s="19" t="s">
        <v>104</v>
      </c>
      <c r="E185" s="25" t="s">
        <v>105</v>
      </c>
      <c r="F185" s="25" t="s">
        <v>595</v>
      </c>
      <c r="G185" s="25" t="s">
        <v>96</v>
      </c>
      <c r="H185" s="26">
        <v>42286</v>
      </c>
      <c r="I185" s="25">
        <v>410</v>
      </c>
      <c r="J185" s="25" t="s">
        <v>335</v>
      </c>
      <c r="K185" s="27">
        <v>5035086</v>
      </c>
      <c r="L185" s="25">
        <v>176</v>
      </c>
      <c r="M185" s="27">
        <v>61.093261363636316</v>
      </c>
      <c r="N185" s="27">
        <v>63.760750000000002</v>
      </c>
      <c r="O185" s="27">
        <v>71.520924200287524</v>
      </c>
      <c r="P185" s="27">
        <v>2958.8560000000002</v>
      </c>
      <c r="Q185" s="27">
        <v>2991.6684999999998</v>
      </c>
      <c r="R185" s="27">
        <v>520758.71100000001</v>
      </c>
      <c r="S185" s="27">
        <f t="shared" si="2"/>
        <v>0.10342598140329679</v>
      </c>
    </row>
    <row r="186" spans="1:19" x14ac:dyDescent="0.25">
      <c r="A186" s="19">
        <v>179</v>
      </c>
      <c r="B186" s="19" t="s">
        <v>60</v>
      </c>
      <c r="C186" s="19" t="s">
        <v>98</v>
      </c>
      <c r="D186" s="19" t="s">
        <v>104</v>
      </c>
      <c r="E186" s="25" t="s">
        <v>105</v>
      </c>
      <c r="F186" s="25" t="s">
        <v>596</v>
      </c>
      <c r="G186" s="25" t="s">
        <v>96</v>
      </c>
      <c r="H186" s="26">
        <v>42287</v>
      </c>
      <c r="I186" s="25">
        <v>411</v>
      </c>
      <c r="J186" s="25" t="s">
        <v>322</v>
      </c>
      <c r="K186" s="27">
        <v>4286567.2479999997</v>
      </c>
      <c r="L186" s="25">
        <v>336</v>
      </c>
      <c r="M186" s="27">
        <v>48.404895833333363</v>
      </c>
      <c r="N186" s="27">
        <v>49.983999999999995</v>
      </c>
      <c r="O186" s="27">
        <v>54.080270437464392</v>
      </c>
      <c r="P186" s="27">
        <v>1837.5170000000001</v>
      </c>
      <c r="Q186" s="27">
        <v>1881.1410000000001</v>
      </c>
      <c r="R186" s="27">
        <v>617405.77500000002</v>
      </c>
      <c r="S186" s="27">
        <f t="shared" si="2"/>
        <v>0.14403268146278714</v>
      </c>
    </row>
    <row r="187" spans="1:19" x14ac:dyDescent="0.25">
      <c r="A187" s="19">
        <v>180</v>
      </c>
      <c r="B187" s="19" t="s">
        <v>60</v>
      </c>
      <c r="C187" s="19" t="s">
        <v>98</v>
      </c>
      <c r="D187" s="19" t="s">
        <v>104</v>
      </c>
      <c r="E187" s="25" t="s">
        <v>105</v>
      </c>
      <c r="F187" s="25" t="s">
        <v>597</v>
      </c>
      <c r="G187" s="25" t="s">
        <v>97</v>
      </c>
      <c r="H187" s="26">
        <v>42287</v>
      </c>
      <c r="I187" s="25">
        <v>412</v>
      </c>
      <c r="J187" s="25" t="s">
        <v>288</v>
      </c>
      <c r="K187" s="27">
        <v>4967210.2029999997</v>
      </c>
      <c r="L187" s="25">
        <v>351</v>
      </c>
      <c r="M187" s="27">
        <v>53.75025498575495</v>
      </c>
      <c r="N187" s="27">
        <v>54.485500000000002</v>
      </c>
      <c r="O187" s="27">
        <v>73.166355122656952</v>
      </c>
      <c r="P187" s="27">
        <v>2408.643</v>
      </c>
      <c r="Q187" s="27">
        <v>2152.442</v>
      </c>
      <c r="R187" s="27">
        <v>845433.72899999924</v>
      </c>
      <c r="S187" s="27">
        <f t="shared" si="2"/>
        <v>0.17020292970275155</v>
      </c>
    </row>
    <row r="188" spans="1:19" x14ac:dyDescent="0.25">
      <c r="A188" s="19">
        <v>181</v>
      </c>
      <c r="B188" s="19" t="s">
        <v>60</v>
      </c>
      <c r="C188" s="19" t="s">
        <v>98</v>
      </c>
      <c r="D188" s="19" t="s">
        <v>104</v>
      </c>
      <c r="E188" s="25" t="s">
        <v>105</v>
      </c>
      <c r="F188" s="25" t="s">
        <v>598</v>
      </c>
      <c r="G188" s="25" t="s">
        <v>96</v>
      </c>
      <c r="H188" s="26">
        <v>42286</v>
      </c>
      <c r="I188" s="25">
        <v>414</v>
      </c>
      <c r="J188" s="25" t="s">
        <v>302</v>
      </c>
      <c r="K188" s="27">
        <v>4612881.0470000003</v>
      </c>
      <c r="L188" s="25">
        <v>173</v>
      </c>
      <c r="M188" s="27">
        <v>52.113248554913298</v>
      </c>
      <c r="N188" s="27">
        <v>53.418499999999995</v>
      </c>
      <c r="O188" s="27">
        <v>66.584364168370513</v>
      </c>
      <c r="P188" s="27">
        <v>2228.3780000000002</v>
      </c>
      <c r="Q188" s="27">
        <v>2106.4670000000001</v>
      </c>
      <c r="R188" s="27">
        <v>385509.34600000008</v>
      </c>
      <c r="S188" s="27">
        <f t="shared" si="2"/>
        <v>8.3572357941186698E-2</v>
      </c>
    </row>
    <row r="189" spans="1:19" x14ac:dyDescent="0.25">
      <c r="A189" s="19">
        <v>182</v>
      </c>
      <c r="B189" s="19" t="s">
        <v>60</v>
      </c>
      <c r="C189" s="19" t="s">
        <v>98</v>
      </c>
      <c r="D189" s="19" t="s">
        <v>104</v>
      </c>
      <c r="E189" s="25" t="s">
        <v>105</v>
      </c>
      <c r="F189" s="25" t="s">
        <v>106</v>
      </c>
      <c r="G189" s="25" t="s">
        <v>97</v>
      </c>
      <c r="H189" s="26">
        <v>42286</v>
      </c>
      <c r="I189" s="25">
        <v>415</v>
      </c>
      <c r="J189" s="25" t="s">
        <v>50</v>
      </c>
      <c r="K189" s="27">
        <v>5197896.3339999998</v>
      </c>
      <c r="L189" s="25">
        <v>94</v>
      </c>
      <c r="M189" s="27">
        <v>79.807249999999996</v>
      </c>
      <c r="N189" s="27">
        <v>82.307999999999993</v>
      </c>
      <c r="O189" s="27">
        <v>96.86548092760188</v>
      </c>
      <c r="P189" s="27">
        <v>5173.4939999999997</v>
      </c>
      <c r="Q189" s="27">
        <v>5235.0110000000004</v>
      </c>
      <c r="R189" s="27">
        <v>486308.43500000006</v>
      </c>
      <c r="S189" s="27">
        <f t="shared" si="2"/>
        <v>9.3558702165528806E-2</v>
      </c>
    </row>
    <row r="190" spans="1:19" x14ac:dyDescent="0.25">
      <c r="A190" s="19">
        <v>183</v>
      </c>
      <c r="B190" s="19" t="s">
        <v>60</v>
      </c>
      <c r="C190" s="19" t="s">
        <v>98</v>
      </c>
      <c r="D190" s="19" t="s">
        <v>104</v>
      </c>
      <c r="E190" s="25" t="s">
        <v>105</v>
      </c>
      <c r="F190" s="25" t="s">
        <v>107</v>
      </c>
      <c r="G190" s="25" t="s">
        <v>96</v>
      </c>
      <c r="H190" s="26">
        <v>42293</v>
      </c>
      <c r="I190" s="25">
        <v>418</v>
      </c>
      <c r="J190" s="25" t="s">
        <v>50</v>
      </c>
      <c r="K190" s="27">
        <v>3850183.2009999999</v>
      </c>
      <c r="L190" s="25">
        <v>86</v>
      </c>
      <c r="M190" s="27">
        <v>89.652401162790682</v>
      </c>
      <c r="N190" s="27">
        <v>95.132499999999993</v>
      </c>
      <c r="O190" s="27">
        <v>114.34935563250717</v>
      </c>
      <c r="P190" s="27">
        <v>6668.5879999999997</v>
      </c>
      <c r="Q190" s="27">
        <v>6831.6645000000008</v>
      </c>
      <c r="R190" s="27">
        <v>573498.56399999966</v>
      </c>
      <c r="S190" s="27">
        <f t="shared" si="2"/>
        <v>0.14895357806637516</v>
      </c>
    </row>
    <row r="191" spans="1:19" x14ac:dyDescent="0.25">
      <c r="A191" s="19">
        <v>184</v>
      </c>
      <c r="B191" s="19" t="s">
        <v>60</v>
      </c>
      <c r="C191" s="19" t="s">
        <v>98</v>
      </c>
      <c r="D191" s="19" t="s">
        <v>104</v>
      </c>
      <c r="E191" s="25" t="s">
        <v>105</v>
      </c>
      <c r="F191" s="25" t="s">
        <v>599</v>
      </c>
      <c r="G191" s="25" t="s">
        <v>97</v>
      </c>
      <c r="H191" s="26">
        <v>42287</v>
      </c>
      <c r="I191" s="25">
        <v>419</v>
      </c>
      <c r="J191" s="25" t="s">
        <v>50</v>
      </c>
      <c r="K191" s="27">
        <v>45893012.159999996</v>
      </c>
      <c r="L191" s="25">
        <v>88</v>
      </c>
      <c r="M191" s="27">
        <v>87.709104382490096</v>
      </c>
      <c r="N191" s="27">
        <v>91.204300000000003</v>
      </c>
      <c r="O191" s="27">
        <v>111.105272635132</v>
      </c>
      <c r="P191" s="27">
        <v>6023.2190000000001</v>
      </c>
      <c r="Q191" s="27">
        <v>6537.1354000000001</v>
      </c>
      <c r="R191" s="27">
        <v>569732.55099999998</v>
      </c>
      <c r="S191" s="27">
        <f t="shared" si="2"/>
        <v>1.2414363847238917E-2</v>
      </c>
    </row>
    <row r="192" spans="1:19" x14ac:dyDescent="0.25">
      <c r="A192" s="19">
        <v>185</v>
      </c>
      <c r="B192" s="19" t="s">
        <v>60</v>
      </c>
      <c r="C192" s="19" t="s">
        <v>98</v>
      </c>
      <c r="D192" s="19" t="s">
        <v>104</v>
      </c>
      <c r="E192" s="25" t="s">
        <v>105</v>
      </c>
      <c r="F192" s="25" t="s">
        <v>600</v>
      </c>
      <c r="G192" s="25" t="s">
        <v>97</v>
      </c>
      <c r="H192" s="26">
        <v>42286</v>
      </c>
      <c r="I192" s="25">
        <v>420</v>
      </c>
      <c r="J192" s="25" t="s">
        <v>340</v>
      </c>
      <c r="K192" s="27">
        <v>4579947.7230000002</v>
      </c>
      <c r="L192" s="25">
        <v>84</v>
      </c>
      <c r="M192" s="27">
        <v>100.96794047619053</v>
      </c>
      <c r="N192" s="27">
        <v>94.991749999999996</v>
      </c>
      <c r="O192" s="27">
        <v>138.49511407814151</v>
      </c>
      <c r="P192" s="27">
        <v>8774.8060000000005</v>
      </c>
      <c r="Q192" s="27">
        <v>6640.8784999999998</v>
      </c>
      <c r="R192" s="27">
        <v>737083.71499999997</v>
      </c>
      <c r="S192" s="27">
        <f t="shared" si="2"/>
        <v>0.160937145919471</v>
      </c>
    </row>
    <row r="193" spans="1:19" x14ac:dyDescent="0.25">
      <c r="A193" s="19">
        <v>186</v>
      </c>
      <c r="B193" s="19" t="s">
        <v>60</v>
      </c>
      <c r="C193" s="19" t="s">
        <v>98</v>
      </c>
      <c r="D193" s="19" t="s">
        <v>104</v>
      </c>
      <c r="E193" s="25" t="s">
        <v>105</v>
      </c>
      <c r="F193" s="25" t="s">
        <v>601</v>
      </c>
      <c r="G193" s="25" t="s">
        <v>97</v>
      </c>
      <c r="H193" s="26">
        <v>42290</v>
      </c>
      <c r="I193" s="25">
        <v>421</v>
      </c>
      <c r="J193" s="25" t="s">
        <v>195</v>
      </c>
      <c r="K193" s="27">
        <v>5555170.2489999998</v>
      </c>
      <c r="L193" s="25">
        <v>95</v>
      </c>
      <c r="M193" s="27">
        <v>75.776989473684196</v>
      </c>
      <c r="N193" s="27">
        <v>78.680499999999995</v>
      </c>
      <c r="O193" s="27">
        <v>93.233481732048404</v>
      </c>
      <c r="P193" s="27">
        <v>4688.7879999999996</v>
      </c>
      <c r="Q193" s="27">
        <v>4793.1109999999999</v>
      </c>
      <c r="R193" s="27">
        <v>445434.9009999999</v>
      </c>
      <c r="S193" s="27">
        <f t="shared" si="2"/>
        <v>8.0183843344888261E-2</v>
      </c>
    </row>
    <row r="194" spans="1:19" x14ac:dyDescent="0.25">
      <c r="A194" s="19">
        <v>187</v>
      </c>
      <c r="B194" s="19" t="s">
        <v>60</v>
      </c>
      <c r="C194" s="19" t="s">
        <v>98</v>
      </c>
      <c r="D194" s="19" t="s">
        <v>104</v>
      </c>
      <c r="E194" s="25" t="s">
        <v>105</v>
      </c>
      <c r="F194" s="25" t="s">
        <v>602</v>
      </c>
      <c r="G194" s="25" t="s">
        <v>96</v>
      </c>
      <c r="H194" s="26">
        <v>42291</v>
      </c>
      <c r="I194" s="25">
        <v>421</v>
      </c>
      <c r="J194" s="25" t="s">
        <v>195</v>
      </c>
      <c r="K194" s="27">
        <v>5406967</v>
      </c>
      <c r="L194" s="25">
        <v>130</v>
      </c>
      <c r="M194" s="27">
        <v>58.998811538461538</v>
      </c>
      <c r="N194" s="27">
        <v>58.782250000000005</v>
      </c>
      <c r="O194" s="27">
        <v>78.930780423958751</v>
      </c>
      <c r="P194" s="27">
        <v>2953.9490000000001</v>
      </c>
      <c r="Q194" s="27">
        <v>2586.2915000000003</v>
      </c>
      <c r="R194" s="27">
        <v>384013.39500000014</v>
      </c>
      <c r="S194" s="27">
        <f t="shared" si="2"/>
        <v>7.1021960185812139E-2</v>
      </c>
    </row>
    <row r="195" spans="1:19" x14ac:dyDescent="0.25">
      <c r="A195" s="19">
        <v>188</v>
      </c>
      <c r="B195" s="19" t="s">
        <v>60</v>
      </c>
      <c r="C195" s="19" t="s">
        <v>98</v>
      </c>
      <c r="D195" s="19" t="s">
        <v>104</v>
      </c>
      <c r="E195" s="25" t="s">
        <v>105</v>
      </c>
      <c r="F195" s="25" t="s">
        <v>603</v>
      </c>
      <c r="G195" s="25" t="s">
        <v>96</v>
      </c>
      <c r="H195" s="26">
        <v>42291</v>
      </c>
      <c r="I195" s="25">
        <v>422</v>
      </c>
      <c r="J195" s="25" t="s">
        <v>148</v>
      </c>
      <c r="K195" s="27">
        <v>4045698.3829999999</v>
      </c>
      <c r="L195" s="25">
        <v>103</v>
      </c>
      <c r="M195" s="27">
        <v>66.870548543689338</v>
      </c>
      <c r="N195" s="27">
        <v>68.117500000000007</v>
      </c>
      <c r="O195" s="27">
        <v>86.002487576741487</v>
      </c>
      <c r="P195" s="27">
        <v>3616.665</v>
      </c>
      <c r="Q195" s="27">
        <v>3496.4639999999999</v>
      </c>
      <c r="R195" s="27">
        <v>372516.51300000009</v>
      </c>
      <c r="S195" s="27">
        <f t="shared" si="2"/>
        <v>9.207718364901156E-2</v>
      </c>
    </row>
    <row r="196" spans="1:19" x14ac:dyDescent="0.25">
      <c r="A196" s="19">
        <v>189</v>
      </c>
      <c r="B196" s="19" t="s">
        <v>60</v>
      </c>
      <c r="C196" s="19" t="s">
        <v>98</v>
      </c>
      <c r="D196" s="19" t="s">
        <v>104</v>
      </c>
      <c r="E196" s="25" t="s">
        <v>105</v>
      </c>
      <c r="F196" s="25" t="s">
        <v>604</v>
      </c>
      <c r="G196" s="25" t="s">
        <v>97</v>
      </c>
      <c r="H196" s="26">
        <v>42286</v>
      </c>
      <c r="I196" s="25">
        <v>423</v>
      </c>
      <c r="J196" s="25" t="s">
        <v>251</v>
      </c>
      <c r="K196" s="27">
        <v>6020999.0899999999</v>
      </c>
      <c r="L196" s="25">
        <v>107</v>
      </c>
      <c r="M196" s="27">
        <v>83.188528037383236</v>
      </c>
      <c r="N196" s="27">
        <v>86.496499999999997</v>
      </c>
      <c r="O196" s="27">
        <v>106.23356288968627</v>
      </c>
      <c r="P196" s="27">
        <v>5768.6559999999999</v>
      </c>
      <c r="Q196" s="27">
        <v>5714.0190000000002</v>
      </c>
      <c r="R196" s="27">
        <v>617246.14400000055</v>
      </c>
      <c r="S196" s="27">
        <f t="shared" si="2"/>
        <v>0.10251556839215542</v>
      </c>
    </row>
    <row r="197" spans="1:19" x14ac:dyDescent="0.25">
      <c r="A197" s="19">
        <v>190</v>
      </c>
      <c r="B197" s="19" t="s">
        <v>60</v>
      </c>
      <c r="C197" s="19" t="s">
        <v>98</v>
      </c>
      <c r="D197" s="19" t="s">
        <v>104</v>
      </c>
      <c r="E197" s="25" t="s">
        <v>105</v>
      </c>
      <c r="F197" s="25" t="s">
        <v>605</v>
      </c>
      <c r="G197" s="25" t="s">
        <v>96</v>
      </c>
      <c r="H197" s="26">
        <v>42286</v>
      </c>
      <c r="I197" s="25">
        <v>424</v>
      </c>
      <c r="J197" s="25" t="s">
        <v>335</v>
      </c>
      <c r="K197" s="27">
        <v>3873793.787</v>
      </c>
      <c r="L197" s="25">
        <v>212</v>
      </c>
      <c r="M197" s="27">
        <v>57.016978773584917</v>
      </c>
      <c r="N197" s="27">
        <v>59.3125</v>
      </c>
      <c r="O197" s="27">
        <v>65.470991005279572</v>
      </c>
      <c r="P197" s="27">
        <v>2570.8679999999999</v>
      </c>
      <c r="Q197" s="27">
        <v>2607.2955000000002</v>
      </c>
      <c r="R197" s="27">
        <v>545023.9219999999</v>
      </c>
      <c r="S197" s="27">
        <f t="shared" si="2"/>
        <v>0.14069513039879319</v>
      </c>
    </row>
    <row r="198" spans="1:19" x14ac:dyDescent="0.25">
      <c r="A198" s="19">
        <v>191</v>
      </c>
      <c r="B198" s="19" t="s">
        <v>60</v>
      </c>
      <c r="C198" s="19" t="s">
        <v>98</v>
      </c>
      <c r="D198" s="19" t="s">
        <v>104</v>
      </c>
      <c r="E198" s="25" t="s">
        <v>105</v>
      </c>
      <c r="F198" s="25" t="s">
        <v>606</v>
      </c>
      <c r="G198" s="25" t="s">
        <v>96</v>
      </c>
      <c r="H198" s="26">
        <v>42286</v>
      </c>
      <c r="I198" s="25">
        <v>425</v>
      </c>
      <c r="J198" s="25" t="s">
        <v>138</v>
      </c>
      <c r="K198" s="27">
        <v>4321550.0949999997</v>
      </c>
      <c r="L198" s="25">
        <v>243</v>
      </c>
      <c r="M198" s="27">
        <v>55.411683127571997</v>
      </c>
      <c r="N198" s="27">
        <v>54.710999999999999</v>
      </c>
      <c r="O198" s="27">
        <v>77.43386109173376</v>
      </c>
      <c r="P198" s="27">
        <v>2538.9389999999999</v>
      </c>
      <c r="Q198" s="27">
        <v>2184.1819999999998</v>
      </c>
      <c r="R198" s="27">
        <v>616962.12399999949</v>
      </c>
      <c r="S198" s="27">
        <f t="shared" si="2"/>
        <v>0.14276408011880273</v>
      </c>
    </row>
    <row r="199" spans="1:19" x14ac:dyDescent="0.25">
      <c r="A199" s="19">
        <v>192</v>
      </c>
      <c r="B199" s="19" t="s">
        <v>60</v>
      </c>
      <c r="C199" s="19" t="s">
        <v>98</v>
      </c>
      <c r="D199" s="19" t="s">
        <v>104</v>
      </c>
      <c r="E199" s="25" t="s">
        <v>105</v>
      </c>
      <c r="F199" s="25" t="s">
        <v>607</v>
      </c>
      <c r="G199" s="25" t="s">
        <v>97</v>
      </c>
      <c r="H199" s="26">
        <v>42287</v>
      </c>
      <c r="I199" s="25">
        <v>426</v>
      </c>
      <c r="J199" s="25" t="s">
        <v>608</v>
      </c>
      <c r="K199" s="27">
        <v>3701572.0320000001</v>
      </c>
      <c r="L199" s="25">
        <v>254</v>
      </c>
      <c r="M199" s="27">
        <v>60.76456889763778</v>
      </c>
      <c r="N199" s="27">
        <v>61.264250000000004</v>
      </c>
      <c r="O199" s="27">
        <v>69.312508445111462</v>
      </c>
      <c r="P199" s="27">
        <v>2817.1750000000002</v>
      </c>
      <c r="Q199" s="27">
        <v>2779.0614999999998</v>
      </c>
      <c r="R199" s="27">
        <v>715562.32300000009</v>
      </c>
      <c r="S199" s="27">
        <f t="shared" si="2"/>
        <v>0.19331308882117684</v>
      </c>
    </row>
    <row r="200" spans="1:19" x14ac:dyDescent="0.25">
      <c r="A200" s="19">
        <v>193</v>
      </c>
      <c r="B200" s="19" t="s">
        <v>60</v>
      </c>
      <c r="C200" s="19" t="s">
        <v>98</v>
      </c>
      <c r="D200" s="19" t="s">
        <v>104</v>
      </c>
      <c r="E200" s="25" t="s">
        <v>105</v>
      </c>
      <c r="F200" s="25" t="s">
        <v>609</v>
      </c>
      <c r="G200" s="25" t="s">
        <v>97</v>
      </c>
      <c r="H200" s="26">
        <v>42297</v>
      </c>
      <c r="I200" s="25">
        <v>445</v>
      </c>
      <c r="J200" s="25" t="s">
        <v>267</v>
      </c>
      <c r="K200" s="27">
        <v>4555307.0080000004</v>
      </c>
      <c r="L200" s="25">
        <v>123</v>
      </c>
      <c r="M200" s="27">
        <v>78.855451219512219</v>
      </c>
      <c r="N200" s="27">
        <v>78.8065</v>
      </c>
      <c r="O200" s="27">
        <v>115.32741641062567</v>
      </c>
      <c r="P200" s="27">
        <v>5451.1729999999998</v>
      </c>
      <c r="Q200" s="27">
        <v>4614.8100000000004</v>
      </c>
      <c r="R200" s="27">
        <v>670494.2930000003</v>
      </c>
      <c r="S200" s="27">
        <f t="shared" ref="S200:S263" si="3">R200/K200</f>
        <v>0.14718970462857556</v>
      </c>
    </row>
    <row r="201" spans="1:19" x14ac:dyDescent="0.25">
      <c r="A201" s="19">
        <v>194</v>
      </c>
      <c r="B201" s="19" t="s">
        <v>60</v>
      </c>
      <c r="C201" s="19" t="s">
        <v>98</v>
      </c>
      <c r="D201" s="19" t="s">
        <v>104</v>
      </c>
      <c r="E201" s="25" t="s">
        <v>105</v>
      </c>
      <c r="F201" s="25" t="s">
        <v>610</v>
      </c>
      <c r="G201" s="25" t="s">
        <v>96</v>
      </c>
      <c r="H201" s="26">
        <v>42293</v>
      </c>
      <c r="I201" s="25">
        <v>457</v>
      </c>
      <c r="J201" s="25" t="s">
        <v>130</v>
      </c>
      <c r="K201" s="27">
        <v>4395192.6529999999</v>
      </c>
      <c r="L201" s="25">
        <v>254</v>
      </c>
      <c r="M201" s="27">
        <v>61.378061023622053</v>
      </c>
      <c r="N201" s="27">
        <v>62.658000000000001</v>
      </c>
      <c r="O201" s="27">
        <v>74.75531712639301</v>
      </c>
      <c r="P201" s="27">
        <v>2996.5770000000002</v>
      </c>
      <c r="Q201" s="27">
        <v>2968.2139999999999</v>
      </c>
      <c r="R201" s="27">
        <v>761130.48100000049</v>
      </c>
      <c r="S201" s="27">
        <f t="shared" si="3"/>
        <v>0.17317340583022686</v>
      </c>
    </row>
    <row r="202" spans="1:19" x14ac:dyDescent="0.25">
      <c r="A202" s="19">
        <v>195</v>
      </c>
      <c r="B202" s="19" t="s">
        <v>60</v>
      </c>
      <c r="C202" s="19" t="s">
        <v>98</v>
      </c>
      <c r="D202" s="19" t="s">
        <v>104</v>
      </c>
      <c r="E202" s="25" t="s">
        <v>105</v>
      </c>
      <c r="F202" s="25" t="s">
        <v>611</v>
      </c>
      <c r="G202" s="25" t="s">
        <v>97</v>
      </c>
      <c r="H202" s="26">
        <v>42298</v>
      </c>
      <c r="I202" s="25">
        <v>458</v>
      </c>
      <c r="J202" s="25" t="s">
        <v>409</v>
      </c>
      <c r="K202" s="27">
        <v>4329176.1770000001</v>
      </c>
      <c r="L202" s="25">
        <v>145</v>
      </c>
      <c r="M202" s="27">
        <v>71.31319310344827</v>
      </c>
      <c r="N202" s="27">
        <v>73.336500000000001</v>
      </c>
      <c r="O202" s="27">
        <v>125.43462230443855</v>
      </c>
      <c r="P202" s="27">
        <v>5117.9080000000004</v>
      </c>
      <c r="Q202" s="27">
        <v>4000.0929999999998</v>
      </c>
      <c r="R202" s="27">
        <v>742096.6660000002</v>
      </c>
      <c r="S202" s="27">
        <f t="shared" si="3"/>
        <v>0.17141752510387617</v>
      </c>
    </row>
    <row r="203" spans="1:19" x14ac:dyDescent="0.25">
      <c r="A203" s="19">
        <v>196</v>
      </c>
      <c r="B203" s="19" t="s">
        <v>60</v>
      </c>
      <c r="C203" s="19" t="s">
        <v>98</v>
      </c>
      <c r="D203" s="19" t="s">
        <v>104</v>
      </c>
      <c r="E203" s="25" t="s">
        <v>105</v>
      </c>
      <c r="F203" s="25" t="s">
        <v>612</v>
      </c>
      <c r="G203" s="25" t="s">
        <v>97</v>
      </c>
      <c r="H203" s="26">
        <v>42298</v>
      </c>
      <c r="I203" s="25">
        <v>461</v>
      </c>
      <c r="J203" s="25" t="s">
        <v>409</v>
      </c>
      <c r="K203" s="27">
        <v>4563503.699</v>
      </c>
      <c r="L203" s="25">
        <v>119</v>
      </c>
      <c r="M203" s="27">
        <v>76.369205882352944</v>
      </c>
      <c r="N203" s="27">
        <v>71.814499999999995</v>
      </c>
      <c r="O203" s="27">
        <v>128.50209610650427</v>
      </c>
      <c r="P203" s="27">
        <v>5411.607</v>
      </c>
      <c r="Q203" s="27">
        <v>3806.857</v>
      </c>
      <c r="R203" s="27">
        <v>643981.19300000032</v>
      </c>
      <c r="S203" s="27">
        <f t="shared" si="3"/>
        <v>0.14111551901253325</v>
      </c>
    </row>
    <row r="204" spans="1:19" x14ac:dyDescent="0.25">
      <c r="A204" s="19">
        <v>197</v>
      </c>
      <c r="B204" s="19" t="s">
        <v>60</v>
      </c>
      <c r="C204" s="19" t="s">
        <v>98</v>
      </c>
      <c r="D204" s="19" t="s">
        <v>104</v>
      </c>
      <c r="E204" s="25" t="s">
        <v>105</v>
      </c>
      <c r="F204" s="25" t="s">
        <v>613</v>
      </c>
      <c r="G204" s="25" t="s">
        <v>97</v>
      </c>
      <c r="H204" s="26">
        <v>42297</v>
      </c>
      <c r="I204" s="25">
        <v>462</v>
      </c>
      <c r="J204" s="25" t="s">
        <v>221</v>
      </c>
      <c r="K204" s="27">
        <v>4164954.375</v>
      </c>
      <c r="L204" s="25">
        <v>55</v>
      </c>
      <c r="M204" s="27">
        <v>87.428290909090904</v>
      </c>
      <c r="N204" s="27">
        <v>87.853499999999997</v>
      </c>
      <c r="O204" s="27">
        <v>112.3755797028693</v>
      </c>
      <c r="P204" s="27">
        <v>6268.7920000000004</v>
      </c>
      <c r="Q204" s="27">
        <v>5797.5680000000002</v>
      </c>
      <c r="R204" s="27">
        <v>344783.54100000008</v>
      </c>
      <c r="S204" s="27">
        <f t="shared" si="3"/>
        <v>8.2782069131309532E-2</v>
      </c>
    </row>
    <row r="205" spans="1:19" x14ac:dyDescent="0.25">
      <c r="A205" s="19">
        <v>198</v>
      </c>
      <c r="B205" s="19" t="s">
        <v>60</v>
      </c>
      <c r="C205" s="19" t="s">
        <v>98</v>
      </c>
      <c r="D205" s="19" t="s">
        <v>104</v>
      </c>
      <c r="E205" s="25" t="s">
        <v>105</v>
      </c>
      <c r="F205" s="25" t="s">
        <v>614</v>
      </c>
      <c r="G205" s="25" t="s">
        <v>97</v>
      </c>
      <c r="H205" s="26">
        <v>42291</v>
      </c>
      <c r="I205" s="25">
        <v>465</v>
      </c>
      <c r="J205" s="25" t="s">
        <v>148</v>
      </c>
      <c r="K205" s="27">
        <v>3213408.4810000001</v>
      </c>
      <c r="L205" s="25">
        <v>63</v>
      </c>
      <c r="M205" s="27">
        <v>115.47856349206351</v>
      </c>
      <c r="N205" s="27">
        <v>118.756</v>
      </c>
      <c r="O205" s="27">
        <v>130.8229661415667</v>
      </c>
      <c r="P205" s="27">
        <v>10612.331</v>
      </c>
      <c r="Q205" s="27">
        <v>10802.119000000001</v>
      </c>
      <c r="R205" s="27">
        <v>668576.85799999989</v>
      </c>
      <c r="S205" s="27">
        <f t="shared" si="3"/>
        <v>0.20805847185414206</v>
      </c>
    </row>
    <row r="206" spans="1:19" x14ac:dyDescent="0.25">
      <c r="A206" s="19">
        <v>199</v>
      </c>
      <c r="B206" s="19" t="s">
        <v>60</v>
      </c>
      <c r="C206" s="19" t="s">
        <v>98</v>
      </c>
      <c r="D206" s="19" t="s">
        <v>104</v>
      </c>
      <c r="E206" s="25" t="s">
        <v>105</v>
      </c>
      <c r="F206" s="25" t="s">
        <v>615</v>
      </c>
      <c r="G206" s="25" t="s">
        <v>97</v>
      </c>
      <c r="H206" s="26">
        <v>42291</v>
      </c>
      <c r="I206" s="25">
        <v>470</v>
      </c>
      <c r="J206" s="25" t="s">
        <v>221</v>
      </c>
      <c r="K206" s="27">
        <v>4496908.4460000005</v>
      </c>
      <c r="L206" s="25">
        <v>106</v>
      </c>
      <c r="M206" s="27">
        <v>80.202283018867917</v>
      </c>
      <c r="N206" s="27">
        <v>82.728999999999999</v>
      </c>
      <c r="O206" s="27">
        <v>103.96969344104478</v>
      </c>
      <c r="P206" s="27">
        <v>5322.3540000000003</v>
      </c>
      <c r="Q206" s="27">
        <v>5179.2340000000004</v>
      </c>
      <c r="R206" s="27">
        <v>564169.5290000001</v>
      </c>
      <c r="S206" s="27">
        <f t="shared" si="3"/>
        <v>0.12545719704430025</v>
      </c>
    </row>
    <row r="207" spans="1:19" x14ac:dyDescent="0.25">
      <c r="A207" s="19">
        <v>200</v>
      </c>
      <c r="B207" s="19" t="s">
        <v>60</v>
      </c>
      <c r="C207" s="19" t="s">
        <v>98</v>
      </c>
      <c r="D207" s="19" t="s">
        <v>104</v>
      </c>
      <c r="E207" s="25" t="s">
        <v>105</v>
      </c>
      <c r="F207" s="25" t="s">
        <v>616</v>
      </c>
      <c r="G207" s="25" t="s">
        <v>97</v>
      </c>
      <c r="H207" s="26">
        <v>42291</v>
      </c>
      <c r="I207" s="25">
        <v>477</v>
      </c>
      <c r="J207" s="25" t="s">
        <v>344</v>
      </c>
      <c r="K207" s="27">
        <v>4158960.0690000001</v>
      </c>
      <c r="L207" s="25">
        <v>191</v>
      </c>
      <c r="M207" s="27">
        <v>65.816164921465997</v>
      </c>
      <c r="N207" s="27">
        <v>76.106999999999999</v>
      </c>
      <c r="O207" s="27">
        <v>106.2033573303666</v>
      </c>
      <c r="P207" s="27">
        <v>4336.9620000000004</v>
      </c>
      <c r="Q207" s="27">
        <v>4313.2860000000001</v>
      </c>
      <c r="R207" s="27">
        <v>828359.826</v>
      </c>
      <c r="S207" s="27">
        <f t="shared" si="3"/>
        <v>0.19917474855659645</v>
      </c>
    </row>
    <row r="208" spans="1:19" x14ac:dyDescent="0.25">
      <c r="A208" s="19">
        <v>201</v>
      </c>
      <c r="B208" s="19" t="s">
        <v>60</v>
      </c>
      <c r="C208" s="19" t="s">
        <v>98</v>
      </c>
      <c r="D208" s="19" t="s">
        <v>104</v>
      </c>
      <c r="E208" s="25" t="s">
        <v>105</v>
      </c>
      <c r="F208" s="25" t="s">
        <v>617</v>
      </c>
      <c r="G208" s="25" t="s">
        <v>97</v>
      </c>
      <c r="H208" s="26">
        <v>42296</v>
      </c>
      <c r="I208" s="25">
        <v>483</v>
      </c>
      <c r="J208" s="25" t="s">
        <v>275</v>
      </c>
      <c r="K208" s="27">
        <v>4919918.318</v>
      </c>
      <c r="L208" s="25">
        <v>164</v>
      </c>
      <c r="M208" s="27">
        <v>50.091192073170724</v>
      </c>
      <c r="N208" s="27">
        <v>49.123249999999999</v>
      </c>
      <c r="O208" s="27">
        <v>73.639837983329926</v>
      </c>
      <c r="P208" s="27">
        <v>2161.8589999999999</v>
      </c>
      <c r="Q208" s="27">
        <v>1806.9265</v>
      </c>
      <c r="R208" s="27">
        <v>354544.79400000023</v>
      </c>
      <c r="S208" s="27">
        <f t="shared" si="3"/>
        <v>7.2063146394700003E-2</v>
      </c>
    </row>
    <row r="209" spans="1:19" x14ac:dyDescent="0.25">
      <c r="A209" s="19">
        <v>202</v>
      </c>
      <c r="B209" s="19" t="s">
        <v>60</v>
      </c>
      <c r="C209" s="19" t="s">
        <v>98</v>
      </c>
      <c r="D209" s="19" t="s">
        <v>104</v>
      </c>
      <c r="E209" s="25" t="s">
        <v>105</v>
      </c>
      <c r="F209" s="25" t="s">
        <v>619</v>
      </c>
      <c r="G209" s="25" t="s">
        <v>96</v>
      </c>
      <c r="H209" s="26">
        <v>42297</v>
      </c>
      <c r="I209" s="25">
        <v>497</v>
      </c>
      <c r="J209" s="25" t="s">
        <v>356</v>
      </c>
      <c r="K209" s="27">
        <v>3641573.199</v>
      </c>
      <c r="L209" s="25">
        <v>156</v>
      </c>
      <c r="M209" s="27">
        <v>55.625467948717919</v>
      </c>
      <c r="N209" s="27">
        <v>56.885999999999996</v>
      </c>
      <c r="O209" s="27">
        <v>63.4610931205955</v>
      </c>
      <c r="P209" s="27">
        <v>2414.4189999999999</v>
      </c>
      <c r="Q209" s="27">
        <v>2429.8119999999999</v>
      </c>
      <c r="R209" s="27">
        <v>376649.39799999987</v>
      </c>
      <c r="S209" s="27">
        <f t="shared" si="3"/>
        <v>0.10343040697449944</v>
      </c>
    </row>
    <row r="210" spans="1:19" x14ac:dyDescent="0.25">
      <c r="A210" s="19">
        <v>203</v>
      </c>
      <c r="B210" s="19" t="s">
        <v>60</v>
      </c>
      <c r="C210" s="19" t="s">
        <v>98</v>
      </c>
      <c r="D210" s="19" t="s">
        <v>104</v>
      </c>
      <c r="E210" s="25" t="s">
        <v>105</v>
      </c>
      <c r="F210" s="25" t="s">
        <v>618</v>
      </c>
      <c r="G210" s="25" t="s">
        <v>97</v>
      </c>
      <c r="H210" s="26">
        <v>42297</v>
      </c>
      <c r="I210" s="25">
        <v>497</v>
      </c>
      <c r="J210" s="25" t="s">
        <v>356</v>
      </c>
      <c r="K210" s="27">
        <v>4678809.7740000002</v>
      </c>
      <c r="L210" s="25">
        <v>133</v>
      </c>
      <c r="M210" s="27">
        <v>76.503898496240609</v>
      </c>
      <c r="N210" s="27">
        <v>82.5535</v>
      </c>
      <c r="O210" s="27">
        <v>93.486051234635624</v>
      </c>
      <c r="P210" s="27">
        <v>4864.6469999999999</v>
      </c>
      <c r="Q210" s="27">
        <v>5211.79</v>
      </c>
      <c r="R210" s="27">
        <v>646998.06299999985</v>
      </c>
      <c r="S210" s="27">
        <f t="shared" si="3"/>
        <v>0.13828261764249272</v>
      </c>
    </row>
    <row r="211" spans="1:19" x14ac:dyDescent="0.25">
      <c r="A211" s="19">
        <v>204</v>
      </c>
      <c r="B211" s="19" t="s">
        <v>60</v>
      </c>
      <c r="C211" s="19" t="s">
        <v>98</v>
      </c>
      <c r="D211" s="19" t="s">
        <v>104</v>
      </c>
      <c r="E211" s="25" t="s">
        <v>105</v>
      </c>
      <c r="F211" s="25" t="s">
        <v>620</v>
      </c>
      <c r="G211" s="25" t="s">
        <v>96</v>
      </c>
      <c r="H211" s="26">
        <v>42294</v>
      </c>
      <c r="I211" s="25">
        <v>499</v>
      </c>
      <c r="J211" s="25" t="s">
        <v>272</v>
      </c>
      <c r="K211" s="27">
        <v>4800247.6140000001</v>
      </c>
      <c r="L211" s="25">
        <v>180</v>
      </c>
      <c r="M211" s="27">
        <v>75.305886111111121</v>
      </c>
      <c r="N211" s="27">
        <v>78.542249999999996</v>
      </c>
      <c r="O211" s="27">
        <v>85.172430832459</v>
      </c>
      <c r="P211" s="27">
        <v>4404.0969999999998</v>
      </c>
      <c r="Q211" s="27">
        <v>4611.3094999999994</v>
      </c>
      <c r="R211" s="27">
        <v>792737.51800000016</v>
      </c>
      <c r="S211" s="27">
        <f t="shared" si="3"/>
        <v>0.16514513036535206</v>
      </c>
    </row>
    <row r="212" spans="1:19" x14ac:dyDescent="0.25">
      <c r="A212" s="19">
        <v>205</v>
      </c>
      <c r="B212" s="19" t="s">
        <v>60</v>
      </c>
      <c r="C212" s="19" t="s">
        <v>98</v>
      </c>
      <c r="D212" s="19" t="s">
        <v>104</v>
      </c>
      <c r="E212" s="25" t="s">
        <v>105</v>
      </c>
      <c r="F212" s="25" t="s">
        <v>621</v>
      </c>
      <c r="G212" s="25" t="s">
        <v>97</v>
      </c>
      <c r="H212" s="26">
        <v>42297</v>
      </c>
      <c r="I212" s="25">
        <v>505</v>
      </c>
      <c r="J212" s="25" t="s">
        <v>622</v>
      </c>
      <c r="K212" s="27">
        <v>6262968.0970000001</v>
      </c>
      <c r="L212" s="25">
        <v>154</v>
      </c>
      <c r="M212" s="27">
        <v>76.22846428571431</v>
      </c>
      <c r="N212" s="27">
        <v>78.637249999999995</v>
      </c>
      <c r="O212" s="27">
        <v>99.589764120946782</v>
      </c>
      <c r="P212" s="27">
        <v>4732.3459999999995</v>
      </c>
      <c r="Q212" s="27">
        <v>4491.12</v>
      </c>
      <c r="R212" s="27">
        <v>728781.30299999984</v>
      </c>
      <c r="S212" s="27">
        <f t="shared" si="3"/>
        <v>0.11636356623772209</v>
      </c>
    </row>
    <row r="213" spans="1:19" x14ac:dyDescent="0.25">
      <c r="A213" s="19">
        <v>206</v>
      </c>
      <c r="B213" s="19" t="s">
        <v>60</v>
      </c>
      <c r="C213" s="19" t="s">
        <v>98</v>
      </c>
      <c r="D213" s="19" t="s">
        <v>104</v>
      </c>
      <c r="E213" s="25" t="s">
        <v>105</v>
      </c>
      <c r="F213" s="25" t="s">
        <v>633</v>
      </c>
      <c r="G213" s="25" t="s">
        <v>96</v>
      </c>
      <c r="H213" s="26">
        <v>42294</v>
      </c>
      <c r="I213" s="25">
        <v>509</v>
      </c>
      <c r="J213" s="25" t="s">
        <v>307</v>
      </c>
      <c r="K213" s="27">
        <v>5351644.6119999997</v>
      </c>
      <c r="L213" s="25">
        <v>201</v>
      </c>
      <c r="M213" s="27">
        <v>71.344930348258686</v>
      </c>
      <c r="N213" s="27">
        <v>75.487499999999997</v>
      </c>
      <c r="O213" s="27">
        <v>103.91000892689705</v>
      </c>
      <c r="P213" s="27">
        <v>4610.4650000000001</v>
      </c>
      <c r="Q213" s="27">
        <v>4283.4139999999998</v>
      </c>
      <c r="R213" s="27">
        <v>926703.53999999946</v>
      </c>
      <c r="S213" s="27">
        <f t="shared" si="3"/>
        <v>0.1731623841243215</v>
      </c>
    </row>
    <row r="214" spans="1:19" x14ac:dyDescent="0.25">
      <c r="A214" s="19">
        <v>207</v>
      </c>
      <c r="B214" s="19" t="s">
        <v>60</v>
      </c>
      <c r="C214" s="19" t="s">
        <v>98</v>
      </c>
      <c r="D214" s="19" t="s">
        <v>104</v>
      </c>
      <c r="E214" s="25" t="s">
        <v>105</v>
      </c>
      <c r="F214" s="25" t="s">
        <v>637</v>
      </c>
      <c r="G214" s="25" t="s">
        <v>97</v>
      </c>
      <c r="H214" s="26">
        <v>42296</v>
      </c>
      <c r="I214" s="25">
        <v>541</v>
      </c>
      <c r="J214" s="25" t="s">
        <v>340</v>
      </c>
      <c r="K214" s="27">
        <v>3889030.3160000001</v>
      </c>
      <c r="L214" s="25">
        <v>121</v>
      </c>
      <c r="M214" s="27">
        <v>74.425946280991724</v>
      </c>
      <c r="N214" s="27">
        <v>77.028999999999996</v>
      </c>
      <c r="O214" s="27">
        <v>103.20604988130945</v>
      </c>
      <c r="P214" s="27">
        <v>4754.7129999999997</v>
      </c>
      <c r="Q214" s="27">
        <v>4577.47</v>
      </c>
      <c r="R214" s="27">
        <v>575320.31400000001</v>
      </c>
      <c r="S214" s="27">
        <f t="shared" si="3"/>
        <v>0.14793412939802858</v>
      </c>
    </row>
    <row r="215" spans="1:19" x14ac:dyDescent="0.25">
      <c r="A215" s="19">
        <v>208</v>
      </c>
      <c r="B215" s="19" t="s">
        <v>60</v>
      </c>
      <c r="C215" s="19" t="s">
        <v>98</v>
      </c>
      <c r="D215" s="19" t="s">
        <v>104</v>
      </c>
      <c r="E215" s="25" t="s">
        <v>105</v>
      </c>
      <c r="F215" s="25" t="s">
        <v>638</v>
      </c>
      <c r="G215" s="25" t="s">
        <v>96</v>
      </c>
      <c r="H215" s="26">
        <v>42296</v>
      </c>
      <c r="I215" s="25">
        <v>546</v>
      </c>
      <c r="J215" s="25" t="s">
        <v>282</v>
      </c>
      <c r="K215" s="27">
        <v>5168216.0609999998</v>
      </c>
      <c r="L215" s="25">
        <v>144</v>
      </c>
      <c r="M215" s="27">
        <v>64.116225694444438</v>
      </c>
      <c r="N215" s="27">
        <v>66.662999999999997</v>
      </c>
      <c r="O215" s="27">
        <v>86.359455400208503</v>
      </c>
      <c r="P215" s="27">
        <v>3492.2280000000001</v>
      </c>
      <c r="Q215" s="27">
        <v>3326.2150000000001</v>
      </c>
      <c r="R215" s="27">
        <v>502880.81800000003</v>
      </c>
      <c r="S215" s="27">
        <f t="shared" si="3"/>
        <v>9.7302591854624879E-2</v>
      </c>
    </row>
    <row r="216" spans="1:19" x14ac:dyDescent="0.25">
      <c r="A216" s="19">
        <v>209</v>
      </c>
      <c r="B216" s="19" t="s">
        <v>60</v>
      </c>
      <c r="C216" s="19" t="s">
        <v>98</v>
      </c>
      <c r="D216" s="19" t="s">
        <v>104</v>
      </c>
      <c r="E216" s="25" t="s">
        <v>105</v>
      </c>
      <c r="F216" s="25" t="s">
        <v>639</v>
      </c>
      <c r="G216" s="25" t="s">
        <v>97</v>
      </c>
      <c r="H216" s="26">
        <v>42296</v>
      </c>
      <c r="I216" s="25">
        <v>552</v>
      </c>
      <c r="J216" s="25" t="s">
        <v>343</v>
      </c>
      <c r="K216" s="27">
        <v>4034486.6860000002</v>
      </c>
      <c r="L216" s="25">
        <v>181</v>
      </c>
      <c r="M216" s="27">
        <v>69.244309392265137</v>
      </c>
      <c r="N216" s="27">
        <v>75.6755</v>
      </c>
      <c r="O216" s="27">
        <v>95.965017835770908</v>
      </c>
      <c r="P216" s="27">
        <v>4131.415</v>
      </c>
      <c r="Q216" s="27">
        <v>4282.4799999999996</v>
      </c>
      <c r="R216" s="27">
        <v>747786.17799999984</v>
      </c>
      <c r="S216" s="27">
        <f t="shared" si="3"/>
        <v>0.18534853035824339</v>
      </c>
    </row>
    <row r="217" spans="1:19" x14ac:dyDescent="0.25">
      <c r="A217" s="19">
        <v>210</v>
      </c>
      <c r="B217" s="19" t="s">
        <v>60</v>
      </c>
      <c r="C217" s="19" t="s">
        <v>98</v>
      </c>
      <c r="D217" s="19" t="s">
        <v>104</v>
      </c>
      <c r="E217" s="25" t="s">
        <v>105</v>
      </c>
      <c r="F217" s="25" t="s">
        <v>640</v>
      </c>
      <c r="G217" s="25" t="s">
        <v>97</v>
      </c>
      <c r="H217" s="26">
        <v>42287</v>
      </c>
      <c r="I217" s="25">
        <v>562</v>
      </c>
      <c r="J217" s="25" t="s">
        <v>309</v>
      </c>
      <c r="K217" s="27">
        <v>5203661.4620000003</v>
      </c>
      <c r="L217" s="25">
        <v>93</v>
      </c>
      <c r="M217" s="27">
        <v>76.462354838709686</v>
      </c>
      <c r="N217" s="27">
        <v>74.709499999999991</v>
      </c>
      <c r="O217" s="27">
        <v>106.84261573408524</v>
      </c>
      <c r="P217" s="27">
        <v>4933.1000000000004</v>
      </c>
      <c r="Q217" s="27">
        <v>4300.9170000000004</v>
      </c>
      <c r="R217" s="27">
        <v>458778.27000000025</v>
      </c>
      <c r="S217" s="27">
        <f t="shared" si="3"/>
        <v>8.8164511344608343E-2</v>
      </c>
    </row>
    <row r="218" spans="1:19" x14ac:dyDescent="0.25">
      <c r="A218" s="19">
        <v>211</v>
      </c>
      <c r="B218" s="19" t="s">
        <v>60</v>
      </c>
      <c r="C218" s="19" t="s">
        <v>98</v>
      </c>
      <c r="D218" s="19" t="s">
        <v>104</v>
      </c>
      <c r="E218" s="25" t="s">
        <v>105</v>
      </c>
      <c r="F218" s="25" t="s">
        <v>641</v>
      </c>
      <c r="G218" s="25" t="s">
        <v>96</v>
      </c>
      <c r="H218" s="26">
        <v>42290</v>
      </c>
      <c r="I218" s="25">
        <v>562</v>
      </c>
      <c r="J218" s="25" t="s">
        <v>309</v>
      </c>
      <c r="K218" s="27">
        <v>3601561.0630000001</v>
      </c>
      <c r="L218" s="25">
        <v>88</v>
      </c>
      <c r="M218" s="27">
        <v>75.580488636363626</v>
      </c>
      <c r="N218" s="27">
        <v>74.10575</v>
      </c>
      <c r="O218" s="27">
        <v>112.6855636251554</v>
      </c>
      <c r="P218" s="27">
        <v>4909.4470000000001</v>
      </c>
      <c r="Q218" s="27">
        <v>4142.9205000000002</v>
      </c>
      <c r="R218" s="27">
        <v>432031.31799999997</v>
      </c>
      <c r="S218" s="27">
        <f t="shared" si="3"/>
        <v>0.11995668279469067</v>
      </c>
    </row>
    <row r="219" spans="1:19" x14ac:dyDescent="0.25">
      <c r="A219" s="19">
        <v>212</v>
      </c>
      <c r="B219" s="19" t="s">
        <v>60</v>
      </c>
      <c r="C219" s="19" t="s">
        <v>98</v>
      </c>
      <c r="D219" s="19" t="s">
        <v>104</v>
      </c>
      <c r="E219" s="25" t="s">
        <v>105</v>
      </c>
      <c r="F219" s="25" t="s">
        <v>642</v>
      </c>
      <c r="G219" s="25" t="s">
        <v>97</v>
      </c>
      <c r="H219" s="26">
        <v>42290</v>
      </c>
      <c r="I219" s="25">
        <v>571</v>
      </c>
      <c r="J219" s="25" t="s">
        <v>193</v>
      </c>
      <c r="K219" s="27">
        <v>6413309.0619999999</v>
      </c>
      <c r="L219" s="25">
        <v>42</v>
      </c>
      <c r="M219" s="27">
        <v>114.9234880952381</v>
      </c>
      <c r="N219" s="27">
        <v>114.73174999999999</v>
      </c>
      <c r="O219" s="27">
        <v>162.33555039229535</v>
      </c>
      <c r="P219" s="27">
        <v>10737.050999999999</v>
      </c>
      <c r="Q219" s="27">
        <v>9784.2425000000003</v>
      </c>
      <c r="R219" s="27">
        <v>450956.14900000003</v>
      </c>
      <c r="S219" s="27">
        <f t="shared" si="3"/>
        <v>7.0315673958704972E-2</v>
      </c>
    </row>
    <row r="220" spans="1:19" x14ac:dyDescent="0.25">
      <c r="A220" s="19">
        <v>213</v>
      </c>
      <c r="B220" s="19" t="s">
        <v>60</v>
      </c>
      <c r="C220" s="19" t="s">
        <v>98</v>
      </c>
      <c r="D220" s="19" t="s">
        <v>104</v>
      </c>
      <c r="E220" s="25" t="s">
        <v>105</v>
      </c>
      <c r="F220" s="25" t="s">
        <v>643</v>
      </c>
      <c r="G220" s="25" t="s">
        <v>97</v>
      </c>
      <c r="H220" s="26">
        <v>42289</v>
      </c>
      <c r="I220" s="25">
        <v>572</v>
      </c>
      <c r="J220" s="25" t="s">
        <v>343</v>
      </c>
      <c r="K220" s="27">
        <v>4870803.7529999996</v>
      </c>
      <c r="L220" s="25">
        <v>121</v>
      </c>
      <c r="M220" s="27">
        <v>81.359698347107454</v>
      </c>
      <c r="N220" s="27">
        <v>91.617999999999995</v>
      </c>
      <c r="O220" s="27">
        <v>112.43761075498563</v>
      </c>
      <c r="P220" s="27">
        <v>5787.7340000000004</v>
      </c>
      <c r="Q220" s="27">
        <v>6048.2160000000003</v>
      </c>
      <c r="R220" s="27">
        <v>700315.75700000033</v>
      </c>
      <c r="S220" s="27">
        <f t="shared" si="3"/>
        <v>0.14377827408231456</v>
      </c>
    </row>
    <row r="221" spans="1:19" x14ac:dyDescent="0.25">
      <c r="A221" s="19">
        <v>214</v>
      </c>
      <c r="B221" s="19" t="s">
        <v>60</v>
      </c>
      <c r="C221" s="19" t="s">
        <v>98</v>
      </c>
      <c r="D221" s="19" t="s">
        <v>104</v>
      </c>
      <c r="E221" s="25" t="s">
        <v>105</v>
      </c>
      <c r="F221" s="25" t="s">
        <v>644</v>
      </c>
      <c r="G221" s="25" t="s">
        <v>96</v>
      </c>
      <c r="H221" s="26">
        <v>42289</v>
      </c>
      <c r="I221" s="25">
        <v>574</v>
      </c>
      <c r="J221" s="25" t="s">
        <v>303</v>
      </c>
      <c r="K221" s="27">
        <v>5964392.4009999996</v>
      </c>
      <c r="L221" s="25">
        <v>211</v>
      </c>
      <c r="M221" s="27">
        <v>60.949481042654028</v>
      </c>
      <c r="N221" s="27">
        <v>59.8155</v>
      </c>
      <c r="O221" s="27">
        <v>89.266158041353393</v>
      </c>
      <c r="P221" s="27">
        <v>3212.8629999999998</v>
      </c>
      <c r="Q221" s="27">
        <v>2752.69</v>
      </c>
      <c r="R221" s="27">
        <v>677914.07500000007</v>
      </c>
      <c r="S221" s="27">
        <f t="shared" si="3"/>
        <v>0.11366020701225826</v>
      </c>
    </row>
    <row r="222" spans="1:19" x14ac:dyDescent="0.25">
      <c r="A222" s="19">
        <v>215</v>
      </c>
      <c r="B222" s="19" t="s">
        <v>60</v>
      </c>
      <c r="C222" s="19" t="s">
        <v>98</v>
      </c>
      <c r="D222" s="19" t="s">
        <v>104</v>
      </c>
      <c r="E222" s="25" t="s">
        <v>105</v>
      </c>
      <c r="F222" s="25" t="s">
        <v>645</v>
      </c>
      <c r="G222" s="25" t="s">
        <v>96</v>
      </c>
      <c r="H222" s="26">
        <v>42289</v>
      </c>
      <c r="I222" s="25">
        <v>575</v>
      </c>
      <c r="J222" s="25" t="s">
        <v>365</v>
      </c>
      <c r="K222" s="27">
        <v>4380479.358</v>
      </c>
      <c r="L222" s="25">
        <v>417</v>
      </c>
      <c r="M222" s="27">
        <v>48.62131774580336</v>
      </c>
      <c r="N222" s="27">
        <v>49.430499999999995</v>
      </c>
      <c r="O222" s="27">
        <v>58.427235584123025</v>
      </c>
      <c r="P222" s="27">
        <v>1836.7529999999999</v>
      </c>
      <c r="Q222" s="27">
        <v>1791.4069999999999</v>
      </c>
      <c r="R222" s="27">
        <v>765926.16799999948</v>
      </c>
      <c r="S222" s="27">
        <f t="shared" si="3"/>
        <v>0.17484985212890014</v>
      </c>
    </row>
    <row r="223" spans="1:19" x14ac:dyDescent="0.25">
      <c r="A223" s="19">
        <v>216</v>
      </c>
      <c r="B223" s="19" t="s">
        <v>60</v>
      </c>
      <c r="C223" s="19" t="s">
        <v>98</v>
      </c>
      <c r="D223" s="19" t="s">
        <v>104</v>
      </c>
      <c r="E223" s="25" t="s">
        <v>105</v>
      </c>
      <c r="F223" s="25" t="s">
        <v>646</v>
      </c>
      <c r="G223" s="25" t="s">
        <v>97</v>
      </c>
      <c r="H223" s="26">
        <v>42296</v>
      </c>
      <c r="I223" s="25">
        <v>580</v>
      </c>
      <c r="J223" s="25" t="s">
        <v>251</v>
      </c>
      <c r="K223" s="27">
        <v>4123267.287</v>
      </c>
      <c r="L223" s="25">
        <v>77</v>
      </c>
      <c r="M223" s="27">
        <v>84.752246753246766</v>
      </c>
      <c r="N223" s="27">
        <v>87.268499999999989</v>
      </c>
      <c r="O223" s="27">
        <v>115.76940013769402</v>
      </c>
      <c r="P223" s="27">
        <v>6170.4179999999997</v>
      </c>
      <c r="Q223" s="27">
        <v>5841.6769999999997</v>
      </c>
      <c r="R223" s="27">
        <v>475122.1750000001</v>
      </c>
      <c r="S223" s="27">
        <f t="shared" si="3"/>
        <v>0.11522953568835667</v>
      </c>
    </row>
    <row r="224" spans="1:19" x14ac:dyDescent="0.25">
      <c r="A224" s="19">
        <v>217</v>
      </c>
      <c r="B224" s="19" t="s">
        <v>60</v>
      </c>
      <c r="C224" s="19" t="s">
        <v>98</v>
      </c>
      <c r="D224" s="19" t="s">
        <v>104</v>
      </c>
      <c r="E224" s="25" t="s">
        <v>105</v>
      </c>
      <c r="F224" s="25" t="s">
        <v>649</v>
      </c>
      <c r="G224" s="25" t="s">
        <v>96</v>
      </c>
      <c r="H224" s="26">
        <v>42294</v>
      </c>
      <c r="I224" s="25">
        <v>582</v>
      </c>
      <c r="J224" s="25" t="s">
        <v>648</v>
      </c>
      <c r="K224" s="27">
        <v>4193316.0630000001</v>
      </c>
      <c r="L224" s="25">
        <v>109</v>
      </c>
      <c r="M224" s="27">
        <v>68.831348623853231</v>
      </c>
      <c r="N224" s="27">
        <v>71.486499999999992</v>
      </c>
      <c r="O224" s="27">
        <v>99.808030906040827</v>
      </c>
      <c r="P224" s="27">
        <v>4252.2610000000004</v>
      </c>
      <c r="Q224" s="27">
        <v>3833.462</v>
      </c>
      <c r="R224" s="27">
        <v>463496.46700000024</v>
      </c>
      <c r="S224" s="27">
        <f t="shared" si="3"/>
        <v>0.11053220411637743</v>
      </c>
    </row>
    <row r="225" spans="1:19" x14ac:dyDescent="0.25">
      <c r="A225" s="19">
        <v>218</v>
      </c>
      <c r="B225" s="19" t="s">
        <v>60</v>
      </c>
      <c r="C225" s="19" t="s">
        <v>98</v>
      </c>
      <c r="D225" s="19" t="s">
        <v>104</v>
      </c>
      <c r="E225" s="25" t="s">
        <v>105</v>
      </c>
      <c r="F225" s="25" t="s">
        <v>647</v>
      </c>
      <c r="G225" s="25" t="s">
        <v>97</v>
      </c>
      <c r="H225" s="26">
        <v>42294</v>
      </c>
      <c r="I225" s="25">
        <v>582</v>
      </c>
      <c r="J225" s="25" t="s">
        <v>648</v>
      </c>
      <c r="K225" s="27">
        <v>4035262.4330000002</v>
      </c>
      <c r="L225" s="25">
        <v>82</v>
      </c>
      <c r="M225" s="27">
        <v>62.464859756097546</v>
      </c>
      <c r="N225" s="27">
        <v>64.957750000000004</v>
      </c>
      <c r="O225" s="27">
        <v>77.57361989220388</v>
      </c>
      <c r="P225" s="27">
        <v>3171.44</v>
      </c>
      <c r="Q225" s="27">
        <v>3162.5010000000002</v>
      </c>
      <c r="R225" s="27">
        <v>260058.11299999995</v>
      </c>
      <c r="S225" s="27">
        <f t="shared" si="3"/>
        <v>6.4446394086607336E-2</v>
      </c>
    </row>
    <row r="226" spans="1:19" x14ac:dyDescent="0.25">
      <c r="A226" s="19">
        <v>219</v>
      </c>
      <c r="B226" s="19" t="s">
        <v>60</v>
      </c>
      <c r="C226" s="19" t="s">
        <v>98</v>
      </c>
      <c r="D226" s="19" t="s">
        <v>104</v>
      </c>
      <c r="E226" s="25" t="s">
        <v>105</v>
      </c>
      <c r="F226" s="25" t="s">
        <v>650</v>
      </c>
      <c r="G226" s="25" t="s">
        <v>97</v>
      </c>
      <c r="H226" s="26">
        <v>42290</v>
      </c>
      <c r="I226" s="25">
        <v>583</v>
      </c>
      <c r="J226" s="25" t="s">
        <v>247</v>
      </c>
      <c r="K226" s="27">
        <v>4600233.3779999996</v>
      </c>
      <c r="L226" s="25">
        <v>182</v>
      </c>
      <c r="M226" s="27">
        <v>64.96467582417587</v>
      </c>
      <c r="N226" s="27">
        <v>68.921750000000003</v>
      </c>
      <c r="O226" s="27">
        <v>79.092930511909159</v>
      </c>
      <c r="P226" s="27">
        <v>3405.444</v>
      </c>
      <c r="Q226" s="27">
        <v>3568.4615000000003</v>
      </c>
      <c r="R226" s="27">
        <v>619790.89099999983</v>
      </c>
      <c r="S226" s="27">
        <f t="shared" si="3"/>
        <v>0.13473031476273939</v>
      </c>
    </row>
    <row r="227" spans="1:19" x14ac:dyDescent="0.25">
      <c r="A227" s="19">
        <v>220</v>
      </c>
      <c r="B227" s="19" t="s">
        <v>60</v>
      </c>
      <c r="C227" s="19" t="s">
        <v>98</v>
      </c>
      <c r="D227" s="19" t="s">
        <v>104</v>
      </c>
      <c r="E227" s="25" t="s">
        <v>105</v>
      </c>
      <c r="F227" s="25" t="s">
        <v>651</v>
      </c>
      <c r="G227" s="25" t="s">
        <v>97</v>
      </c>
      <c r="H227" s="26">
        <v>42291</v>
      </c>
      <c r="I227" s="25">
        <v>591</v>
      </c>
      <c r="J227" s="25" t="s">
        <v>307</v>
      </c>
      <c r="K227" s="27">
        <v>4396606.4550000001</v>
      </c>
      <c r="L227" s="25">
        <v>231</v>
      </c>
      <c r="M227" s="27">
        <v>63.584835497835535</v>
      </c>
      <c r="N227" s="27">
        <v>68.290500000000009</v>
      </c>
      <c r="O227" s="27">
        <v>79.370976610692537</v>
      </c>
      <c r="P227" s="27">
        <v>3304.4569999999999</v>
      </c>
      <c r="Q227" s="27">
        <v>3511.1669999999999</v>
      </c>
      <c r="R227" s="27">
        <v>763329.59999999986</v>
      </c>
      <c r="S227" s="27">
        <f t="shared" si="3"/>
        <v>0.17361790458454845</v>
      </c>
    </row>
    <row r="228" spans="1:19" x14ac:dyDescent="0.25">
      <c r="A228" s="19">
        <v>221</v>
      </c>
      <c r="B228" s="19" t="s">
        <v>60</v>
      </c>
      <c r="C228" s="19" t="s">
        <v>98</v>
      </c>
      <c r="D228" s="19" t="s">
        <v>104</v>
      </c>
      <c r="E228" s="25" t="s">
        <v>105</v>
      </c>
      <c r="F228" s="25" t="s">
        <v>652</v>
      </c>
      <c r="G228" s="25" t="s">
        <v>97</v>
      </c>
      <c r="H228" s="26">
        <v>42296</v>
      </c>
      <c r="I228" s="25">
        <v>599</v>
      </c>
      <c r="J228" s="25" t="s">
        <v>319</v>
      </c>
      <c r="K228" s="27">
        <v>4590029.4060000004</v>
      </c>
      <c r="L228" s="25">
        <v>244</v>
      </c>
      <c r="M228" s="27">
        <v>49.581909836065563</v>
      </c>
      <c r="N228" s="27">
        <v>49.237750000000005</v>
      </c>
      <c r="O228" s="27">
        <v>69.220754259329482</v>
      </c>
      <c r="P228" s="27">
        <v>2110.8249999999998</v>
      </c>
      <c r="Q228" s="27">
        <v>1796.5414999999998</v>
      </c>
      <c r="R228" s="27">
        <v>515041.19199999981</v>
      </c>
      <c r="S228" s="27">
        <f t="shared" si="3"/>
        <v>0.11220869115277292</v>
      </c>
    </row>
    <row r="229" spans="1:19" x14ac:dyDescent="0.25">
      <c r="A229" s="19">
        <v>222</v>
      </c>
      <c r="B229" s="19" t="s">
        <v>60</v>
      </c>
      <c r="C229" s="19" t="s">
        <v>98</v>
      </c>
      <c r="D229" s="19" t="s">
        <v>104</v>
      </c>
      <c r="E229" s="25" t="s">
        <v>105</v>
      </c>
      <c r="F229" s="25" t="s">
        <v>653</v>
      </c>
      <c r="G229" s="25" t="s">
        <v>96</v>
      </c>
      <c r="H229" s="26">
        <v>42296</v>
      </c>
      <c r="I229" s="25">
        <v>599</v>
      </c>
      <c r="J229" s="25" t="s">
        <v>319</v>
      </c>
      <c r="K229" s="27">
        <v>5800992.0880000005</v>
      </c>
      <c r="L229" s="25">
        <v>195</v>
      </c>
      <c r="M229" s="27">
        <v>59.276897435897432</v>
      </c>
      <c r="N229" s="27">
        <v>59.5</v>
      </c>
      <c r="O229" s="27">
        <v>84.191500630701128</v>
      </c>
      <c r="P229" s="27">
        <v>3076.0189999999998</v>
      </c>
      <c r="Q229" s="27">
        <v>2566.4540000000002</v>
      </c>
      <c r="R229" s="27">
        <v>599823.80099999951</v>
      </c>
      <c r="S229" s="27">
        <f t="shared" si="3"/>
        <v>0.10340021015384626</v>
      </c>
    </row>
    <row r="230" spans="1:19" x14ac:dyDescent="0.25">
      <c r="A230" s="19">
        <v>223</v>
      </c>
      <c r="B230" s="19" t="s">
        <v>60</v>
      </c>
      <c r="C230" s="19" t="s">
        <v>98</v>
      </c>
      <c r="D230" s="19" t="s">
        <v>104</v>
      </c>
      <c r="E230" s="25" t="s">
        <v>105</v>
      </c>
      <c r="F230" s="25" t="s">
        <v>654</v>
      </c>
      <c r="G230" s="25" t="s">
        <v>97</v>
      </c>
      <c r="H230" s="26">
        <v>42291</v>
      </c>
      <c r="I230" s="25">
        <v>604</v>
      </c>
      <c r="J230" s="25" t="s">
        <v>376</v>
      </c>
      <c r="K230" s="27">
        <v>4889385.05</v>
      </c>
      <c r="L230" s="25">
        <v>116</v>
      </c>
      <c r="M230" s="27">
        <v>78.927043103448256</v>
      </c>
      <c r="N230" s="27">
        <v>82.865749999999991</v>
      </c>
      <c r="O230" s="27">
        <v>100.76473698790359</v>
      </c>
      <c r="P230" s="27">
        <v>5204.0649999999996</v>
      </c>
      <c r="Q230" s="27">
        <v>5243.7629999999999</v>
      </c>
      <c r="R230" s="27">
        <v>603671.49500000011</v>
      </c>
      <c r="S230" s="27">
        <f t="shared" si="3"/>
        <v>0.12346573011262431</v>
      </c>
    </row>
    <row r="231" spans="1:19" x14ac:dyDescent="0.25">
      <c r="A231" s="19">
        <v>224</v>
      </c>
      <c r="B231" s="19" t="s">
        <v>60</v>
      </c>
      <c r="C231" s="19" t="s">
        <v>98</v>
      </c>
      <c r="D231" s="19" t="s">
        <v>104</v>
      </c>
      <c r="E231" s="25" t="s">
        <v>105</v>
      </c>
      <c r="F231" s="25" t="s">
        <v>655</v>
      </c>
      <c r="G231" s="25" t="s">
        <v>97</v>
      </c>
      <c r="H231" s="26">
        <v>42298</v>
      </c>
      <c r="I231" s="25">
        <v>605</v>
      </c>
      <c r="J231" s="25" t="s">
        <v>290</v>
      </c>
      <c r="K231" s="27">
        <v>4488132.0449999999</v>
      </c>
      <c r="L231" s="25">
        <v>117</v>
      </c>
      <c r="M231" s="27">
        <v>66.679658119658157</v>
      </c>
      <c r="N231" s="27">
        <v>69.874499999999998</v>
      </c>
      <c r="O231" s="27">
        <v>83.277616957733144</v>
      </c>
      <c r="P231" s="27">
        <v>3646.614</v>
      </c>
      <c r="Q231" s="27">
        <v>3628.556</v>
      </c>
      <c r="R231" s="27">
        <v>426653.83400000009</v>
      </c>
      <c r="S231" s="27">
        <f t="shared" si="3"/>
        <v>9.5062674119696072E-2</v>
      </c>
    </row>
    <row r="232" spans="1:19" x14ac:dyDescent="0.25">
      <c r="A232" s="19">
        <v>225</v>
      </c>
      <c r="B232" s="19" t="s">
        <v>60</v>
      </c>
      <c r="C232" s="19" t="s">
        <v>98</v>
      </c>
      <c r="D232" s="19" t="s">
        <v>104</v>
      </c>
      <c r="E232" s="25" t="s">
        <v>105</v>
      </c>
      <c r="F232" s="25" t="s">
        <v>656</v>
      </c>
      <c r="G232" s="25" t="s">
        <v>97</v>
      </c>
      <c r="H232" s="26">
        <v>42296</v>
      </c>
      <c r="I232" s="25">
        <v>615</v>
      </c>
      <c r="J232" s="25" t="s">
        <v>153</v>
      </c>
      <c r="K232" s="27">
        <v>5117782.9119999995</v>
      </c>
      <c r="L232" s="25">
        <v>137</v>
      </c>
      <c r="M232" s="27">
        <v>81.925500000000028</v>
      </c>
      <c r="N232" s="27">
        <v>80.680499999999995</v>
      </c>
      <c r="O232" s="27">
        <v>99.207921232235208</v>
      </c>
      <c r="P232" s="27">
        <v>5370.8190000000004</v>
      </c>
      <c r="Q232" s="27">
        <v>4900.6980000000003</v>
      </c>
      <c r="R232" s="27">
        <v>735802.23599999957</v>
      </c>
      <c r="S232" s="27">
        <f t="shared" si="3"/>
        <v>0.14377363179565825</v>
      </c>
    </row>
    <row r="233" spans="1:19" x14ac:dyDescent="0.25">
      <c r="A233" s="19">
        <v>226</v>
      </c>
      <c r="B233" s="19" t="s">
        <v>60</v>
      </c>
      <c r="C233" s="19" t="s">
        <v>98</v>
      </c>
      <c r="D233" s="19" t="s">
        <v>104</v>
      </c>
      <c r="E233" s="25" t="s">
        <v>105</v>
      </c>
      <c r="F233" s="25" t="s">
        <v>657</v>
      </c>
      <c r="G233" s="25" t="s">
        <v>96</v>
      </c>
      <c r="H233" s="26">
        <v>42291</v>
      </c>
      <c r="I233" s="25">
        <v>922</v>
      </c>
      <c r="J233" s="25" t="s">
        <v>335</v>
      </c>
      <c r="K233" s="27">
        <v>3681888.9589999998</v>
      </c>
      <c r="L233" s="25">
        <v>92</v>
      </c>
      <c r="M233" s="27">
        <v>69.953402173913034</v>
      </c>
      <c r="N233" s="27">
        <v>73.777000000000015</v>
      </c>
      <c r="O233" s="27">
        <v>83.903839025535774</v>
      </c>
      <c r="P233" s="27">
        <v>3958.8159999999998</v>
      </c>
      <c r="Q233" s="27">
        <v>4069.1729999999998</v>
      </c>
      <c r="R233" s="27">
        <v>364211.06599999982</v>
      </c>
      <c r="S233" s="27">
        <f t="shared" si="3"/>
        <v>9.8919622524118567E-2</v>
      </c>
    </row>
    <row r="234" spans="1:19" x14ac:dyDescent="0.25">
      <c r="A234" s="19">
        <v>227</v>
      </c>
      <c r="B234" s="19" t="s">
        <v>60</v>
      </c>
      <c r="C234" s="19" t="s">
        <v>98</v>
      </c>
      <c r="D234" s="19" t="s">
        <v>104</v>
      </c>
      <c r="E234" s="25" t="s">
        <v>105</v>
      </c>
      <c r="F234" s="25" t="s">
        <v>572</v>
      </c>
      <c r="G234" s="25" t="s">
        <v>97</v>
      </c>
      <c r="H234" s="26">
        <v>42297</v>
      </c>
      <c r="I234" s="25">
        <v>1687</v>
      </c>
      <c r="J234" s="25" t="s">
        <v>341</v>
      </c>
      <c r="K234" s="27">
        <v>2978877.22</v>
      </c>
      <c r="L234" s="25">
        <v>216</v>
      </c>
      <c r="M234" s="27">
        <v>52.701703703703679</v>
      </c>
      <c r="N234" s="27">
        <v>57.149249999999995</v>
      </c>
      <c r="O234" s="27">
        <v>68.004606515804269</v>
      </c>
      <c r="P234" s="27">
        <v>2327.48</v>
      </c>
      <c r="Q234" s="27">
        <v>2458.8670000000002</v>
      </c>
      <c r="R234" s="27">
        <v>502735.65600000013</v>
      </c>
      <c r="S234" s="27">
        <f t="shared" si="3"/>
        <v>0.16876682685162839</v>
      </c>
    </row>
    <row r="235" spans="1:19" x14ac:dyDescent="0.25">
      <c r="A235" s="19">
        <v>228</v>
      </c>
      <c r="B235" s="19" t="s">
        <v>60</v>
      </c>
      <c r="C235" s="19" t="s">
        <v>98</v>
      </c>
      <c r="D235" s="19" t="s">
        <v>104</v>
      </c>
      <c r="E235" s="25" t="s">
        <v>105</v>
      </c>
      <c r="F235" s="25" t="s">
        <v>573</v>
      </c>
      <c r="G235" s="25" t="s">
        <v>96</v>
      </c>
      <c r="H235" s="26">
        <v>42297</v>
      </c>
      <c r="I235" s="25">
        <v>1687</v>
      </c>
      <c r="J235" s="25" t="s">
        <v>341</v>
      </c>
      <c r="K235" s="27">
        <v>3589865.39</v>
      </c>
      <c r="L235" s="25">
        <v>197</v>
      </c>
      <c r="M235" s="27">
        <v>51.841823594164801</v>
      </c>
      <c r="N235" s="27">
        <v>55.687910000000002</v>
      </c>
      <c r="O235" s="27">
        <v>70.0001256894477</v>
      </c>
      <c r="P235" s="27">
        <v>2587.5100000000002</v>
      </c>
      <c r="Q235" s="27">
        <v>2687.3359999999998</v>
      </c>
      <c r="R235" s="27">
        <v>499211.34700000001</v>
      </c>
      <c r="S235" s="27">
        <f t="shared" si="3"/>
        <v>0.13906129973302425</v>
      </c>
    </row>
    <row r="236" spans="1:19" x14ac:dyDescent="0.25">
      <c r="A236" s="19">
        <v>229</v>
      </c>
      <c r="B236" s="19" t="s">
        <v>60</v>
      </c>
      <c r="C236" s="19" t="s">
        <v>98</v>
      </c>
      <c r="D236" s="19" t="s">
        <v>104</v>
      </c>
      <c r="E236" s="25" t="s">
        <v>105</v>
      </c>
      <c r="F236" s="25" t="s">
        <v>574</v>
      </c>
      <c r="G236" s="25" t="s">
        <v>97</v>
      </c>
      <c r="H236" s="26">
        <v>42289</v>
      </c>
      <c r="I236" s="25">
        <v>1698</v>
      </c>
      <c r="J236" s="25" t="s">
        <v>381</v>
      </c>
      <c r="K236" s="27">
        <v>5126757.6840000004</v>
      </c>
      <c r="L236" s="25">
        <v>57</v>
      </c>
      <c r="M236" s="27">
        <v>113.48003508771932</v>
      </c>
      <c r="N236" s="27">
        <v>120.69750000000001</v>
      </c>
      <c r="O236" s="27">
        <v>135.37297556974622</v>
      </c>
      <c r="P236" s="27">
        <v>10431.753000000001</v>
      </c>
      <c r="Q236" s="27">
        <v>11086.373</v>
      </c>
      <c r="R236" s="27">
        <v>594609.90699999989</v>
      </c>
      <c r="S236" s="27">
        <f t="shared" si="3"/>
        <v>0.11598166787864903</v>
      </c>
    </row>
    <row r="237" spans="1:19" x14ac:dyDescent="0.25">
      <c r="A237" s="19">
        <v>230</v>
      </c>
      <c r="B237" s="19" t="s">
        <v>60</v>
      </c>
      <c r="C237" s="19" t="s">
        <v>98</v>
      </c>
      <c r="D237" s="19" t="s">
        <v>104</v>
      </c>
      <c r="E237" s="25" t="s">
        <v>105</v>
      </c>
      <c r="F237" s="25" t="s">
        <v>575</v>
      </c>
      <c r="G237" s="25" t="s">
        <v>97</v>
      </c>
      <c r="H237" s="26">
        <v>42289</v>
      </c>
      <c r="I237" s="25">
        <v>1699</v>
      </c>
      <c r="J237" s="25" t="s">
        <v>268</v>
      </c>
      <c r="K237" s="27">
        <v>7707328.7589999996</v>
      </c>
      <c r="L237" s="25">
        <v>94</v>
      </c>
      <c r="M237" s="27">
        <v>104.83634574468086</v>
      </c>
      <c r="N237" s="27">
        <v>105.50075</v>
      </c>
      <c r="O237" s="27">
        <v>135.05839007941731</v>
      </c>
      <c r="P237" s="27">
        <v>9233.4830000000002</v>
      </c>
      <c r="Q237" s="27">
        <v>8454.4565000000002</v>
      </c>
      <c r="R237" s="27">
        <v>867947.44299999997</v>
      </c>
      <c r="S237" s="27">
        <f t="shared" si="3"/>
        <v>0.11261326331596802</v>
      </c>
    </row>
    <row r="238" spans="1:19" x14ac:dyDescent="0.25">
      <c r="A238" s="19">
        <v>231</v>
      </c>
      <c r="B238" s="19" t="s">
        <v>60</v>
      </c>
      <c r="C238" s="19" t="s">
        <v>98</v>
      </c>
      <c r="D238" s="19" t="s">
        <v>104</v>
      </c>
      <c r="E238" s="25" t="s">
        <v>105</v>
      </c>
      <c r="F238" s="25" t="s">
        <v>576</v>
      </c>
      <c r="G238" s="25" t="s">
        <v>97</v>
      </c>
      <c r="H238" s="26">
        <v>42297</v>
      </c>
      <c r="I238" s="25">
        <v>3612</v>
      </c>
      <c r="J238" s="25" t="s">
        <v>381</v>
      </c>
      <c r="K238" s="27">
        <v>5799475.3669999996</v>
      </c>
      <c r="L238" s="25">
        <v>63</v>
      </c>
      <c r="M238" s="27">
        <v>116.03118253968253</v>
      </c>
      <c r="N238" s="27">
        <v>121.10149999999999</v>
      </c>
      <c r="O238" s="27">
        <v>140.89542287529213</v>
      </c>
      <c r="P238" s="27">
        <v>10916.115</v>
      </c>
      <c r="Q238" s="27">
        <v>11005.858</v>
      </c>
      <c r="R238" s="27">
        <v>687715.23400000005</v>
      </c>
      <c r="S238" s="27">
        <f t="shared" si="3"/>
        <v>0.11858231830989689</v>
      </c>
    </row>
    <row r="239" spans="1:19" x14ac:dyDescent="0.25">
      <c r="A239" s="19">
        <v>232</v>
      </c>
      <c r="B239" s="19" t="s">
        <v>60</v>
      </c>
      <c r="C239" s="19" t="s">
        <v>98</v>
      </c>
      <c r="D239" s="19" t="s">
        <v>104</v>
      </c>
      <c r="E239" s="25" t="s">
        <v>105</v>
      </c>
      <c r="F239" s="25" t="s">
        <v>577</v>
      </c>
      <c r="G239" s="25" t="s">
        <v>96</v>
      </c>
      <c r="H239" s="26">
        <v>42287</v>
      </c>
      <c r="I239" s="25">
        <v>3622</v>
      </c>
      <c r="J239" s="25" t="s">
        <v>335</v>
      </c>
      <c r="K239" s="27">
        <v>3727197.1340000001</v>
      </c>
      <c r="L239" s="25">
        <v>116</v>
      </c>
      <c r="M239" s="27">
        <v>64.018534482758625</v>
      </c>
      <c r="N239" s="27">
        <v>67.646749999999997</v>
      </c>
      <c r="O239" s="27">
        <v>72.269007388369587</v>
      </c>
      <c r="P239" s="27">
        <v>3217.0549999999998</v>
      </c>
      <c r="Q239" s="27">
        <v>3382.9260000000004</v>
      </c>
      <c r="R239" s="27">
        <v>373178.36700000009</v>
      </c>
      <c r="S239" s="27">
        <f t="shared" si="3"/>
        <v>0.1001230559005898</v>
      </c>
    </row>
    <row r="240" spans="1:19" x14ac:dyDescent="0.25">
      <c r="A240" s="19">
        <v>233</v>
      </c>
      <c r="B240" s="19" t="s">
        <v>60</v>
      </c>
      <c r="C240" s="19" t="s">
        <v>98</v>
      </c>
      <c r="D240" s="19" t="s">
        <v>104</v>
      </c>
      <c r="E240" s="25" t="s">
        <v>105</v>
      </c>
      <c r="F240" s="25" t="s">
        <v>578</v>
      </c>
      <c r="G240" s="25" t="s">
        <v>96</v>
      </c>
      <c r="H240" s="26">
        <v>42290</v>
      </c>
      <c r="I240" s="25">
        <v>3623</v>
      </c>
      <c r="J240" s="25" t="s">
        <v>335</v>
      </c>
      <c r="K240" s="27">
        <v>5651978.3430000003</v>
      </c>
      <c r="L240" s="25">
        <v>195</v>
      </c>
      <c r="M240" s="27">
        <v>71.108266670000006</v>
      </c>
      <c r="N240" s="27">
        <v>72.554500000000004</v>
      </c>
      <c r="O240" s="27">
        <v>88.596805140000001</v>
      </c>
      <c r="P240" s="27">
        <v>4078.261</v>
      </c>
      <c r="Q240" s="27">
        <v>3903.0079999999998</v>
      </c>
      <c r="R240" s="27">
        <v>795260.79700000002</v>
      </c>
      <c r="S240" s="27">
        <f t="shared" si="3"/>
        <v>0.14070485566968494</v>
      </c>
    </row>
    <row r="241" spans="1:19" x14ac:dyDescent="0.25">
      <c r="A241" s="19">
        <v>234</v>
      </c>
      <c r="B241" s="19" t="s">
        <v>60</v>
      </c>
      <c r="C241" s="19" t="s">
        <v>98</v>
      </c>
      <c r="D241" s="19" t="s">
        <v>104</v>
      </c>
      <c r="E241" s="25" t="s">
        <v>105</v>
      </c>
      <c r="F241" s="25" t="s">
        <v>579</v>
      </c>
      <c r="G241" s="25" t="s">
        <v>96</v>
      </c>
      <c r="H241" s="26">
        <v>42291</v>
      </c>
      <c r="I241" s="25">
        <v>3624</v>
      </c>
      <c r="J241" s="32" t="s">
        <v>219</v>
      </c>
      <c r="K241" s="27">
        <v>5608655.9780000001</v>
      </c>
      <c r="L241" s="25">
        <v>86</v>
      </c>
      <c r="M241" s="27">
        <v>70.902575581395325</v>
      </c>
      <c r="N241" s="27">
        <v>74.190249999999992</v>
      </c>
      <c r="O241" s="27">
        <v>102.59028055521613</v>
      </c>
      <c r="P241" s="27">
        <v>4369.0150000000003</v>
      </c>
      <c r="Q241" s="27">
        <v>3926.6959999999999</v>
      </c>
      <c r="R241" s="27">
        <v>375735.2570000001</v>
      </c>
      <c r="S241" s="27">
        <f t="shared" si="3"/>
        <v>6.6992031330469326E-2</v>
      </c>
    </row>
    <row r="242" spans="1:19" x14ac:dyDescent="0.25">
      <c r="A242" s="19">
        <v>235</v>
      </c>
      <c r="B242" s="19" t="s">
        <v>60</v>
      </c>
      <c r="C242" s="19" t="s">
        <v>98</v>
      </c>
      <c r="D242" s="19" t="s">
        <v>104</v>
      </c>
      <c r="E242" s="25" t="s">
        <v>105</v>
      </c>
      <c r="F242" s="25" t="s">
        <v>580</v>
      </c>
      <c r="G242" s="25" t="s">
        <v>96</v>
      </c>
      <c r="H242" s="26">
        <v>42286</v>
      </c>
      <c r="I242" s="25">
        <v>3625</v>
      </c>
      <c r="J242" s="25" t="s">
        <v>155</v>
      </c>
      <c r="K242" s="27">
        <v>4318408.8310000002</v>
      </c>
      <c r="L242" s="25">
        <v>357</v>
      </c>
      <c r="M242" s="27">
        <v>41.553434173669473</v>
      </c>
      <c r="N242" s="27">
        <v>41.917999999999999</v>
      </c>
      <c r="O242" s="27">
        <v>48.801179268887189</v>
      </c>
      <c r="P242" s="27">
        <v>1337.1610000000001</v>
      </c>
      <c r="Q242" s="27">
        <v>1299.4469999999999</v>
      </c>
      <c r="R242" s="27">
        <v>477366.55899999989</v>
      </c>
      <c r="S242" s="27">
        <f t="shared" si="3"/>
        <v>0.11054223388327446</v>
      </c>
    </row>
    <row r="243" spans="1:19" x14ac:dyDescent="0.25">
      <c r="A243" s="19">
        <v>236</v>
      </c>
      <c r="B243" s="19" t="s">
        <v>60</v>
      </c>
      <c r="C243" s="19" t="s">
        <v>98</v>
      </c>
      <c r="D243" s="19" t="s">
        <v>104</v>
      </c>
      <c r="E243" s="25" t="s">
        <v>105</v>
      </c>
      <c r="F243" s="25" t="s">
        <v>581</v>
      </c>
      <c r="G243" s="25" t="s">
        <v>97</v>
      </c>
      <c r="H243" s="26">
        <v>42297</v>
      </c>
      <c r="I243" s="25">
        <v>3654</v>
      </c>
      <c r="J243" s="25" t="s">
        <v>362</v>
      </c>
      <c r="K243" s="27">
        <v>4461766.4359999998</v>
      </c>
      <c r="L243" s="25">
        <v>537</v>
      </c>
      <c r="M243" s="27">
        <v>56.877928305400381</v>
      </c>
      <c r="N243" s="27">
        <v>57.334999999999994</v>
      </c>
      <c r="O243" s="27">
        <v>61.415839567112492</v>
      </c>
      <c r="P243" s="27">
        <v>2455.8580000000002</v>
      </c>
      <c r="Q243" s="27">
        <v>2432.2620000000002</v>
      </c>
      <c r="R243" s="27">
        <v>1318795.7730000005</v>
      </c>
      <c r="S243" s="27">
        <f t="shared" si="3"/>
        <v>0.29557705270254103</v>
      </c>
    </row>
    <row r="244" spans="1:19" x14ac:dyDescent="0.25">
      <c r="A244" s="19">
        <v>237</v>
      </c>
      <c r="B244" s="19" t="s">
        <v>60</v>
      </c>
      <c r="C244" s="19" t="s">
        <v>98</v>
      </c>
      <c r="D244" s="19" t="s">
        <v>104</v>
      </c>
      <c r="E244" s="25" t="s">
        <v>105</v>
      </c>
      <c r="F244" s="25" t="s">
        <v>582</v>
      </c>
      <c r="G244" s="25" t="s">
        <v>96</v>
      </c>
      <c r="H244" s="26">
        <v>42290</v>
      </c>
      <c r="I244" s="25">
        <v>3675</v>
      </c>
      <c r="J244" s="25" t="s">
        <v>164</v>
      </c>
      <c r="K244" s="27">
        <v>3958843.6140000001</v>
      </c>
      <c r="L244" s="25">
        <v>289</v>
      </c>
      <c r="M244" s="27">
        <v>45.390164359861544</v>
      </c>
      <c r="N244" s="27">
        <v>45.692499999999995</v>
      </c>
      <c r="O244" s="27">
        <v>59.085306905115132</v>
      </c>
      <c r="P244" s="27">
        <v>1690.665</v>
      </c>
      <c r="Q244" s="27">
        <v>1551.261</v>
      </c>
      <c r="R244" s="27">
        <v>488602.29999999993</v>
      </c>
      <c r="S244" s="27">
        <f t="shared" si="3"/>
        <v>0.12342046002325363</v>
      </c>
    </row>
    <row r="245" spans="1:19" x14ac:dyDescent="0.25">
      <c r="A245" s="19">
        <v>238</v>
      </c>
      <c r="B245" s="19" t="s">
        <v>60</v>
      </c>
      <c r="C245" s="19" t="s">
        <v>98</v>
      </c>
      <c r="D245" s="19" t="s">
        <v>104</v>
      </c>
      <c r="E245" s="25" t="s">
        <v>105</v>
      </c>
      <c r="F245" s="25" t="s">
        <v>583</v>
      </c>
      <c r="G245" s="25" t="s">
        <v>97</v>
      </c>
      <c r="H245" s="26">
        <v>42289</v>
      </c>
      <c r="I245" s="25">
        <v>3676</v>
      </c>
      <c r="J245" s="32" t="s">
        <v>1015</v>
      </c>
      <c r="K245" s="27">
        <v>6229394.852</v>
      </c>
      <c r="L245" s="25">
        <v>120</v>
      </c>
      <c r="M245" s="27">
        <v>89.780070833333369</v>
      </c>
      <c r="N245" s="27">
        <v>90.041250000000005</v>
      </c>
      <c r="O245" s="27">
        <v>126.6320922354234</v>
      </c>
      <c r="P245" s="27">
        <v>6892.0029999999997</v>
      </c>
      <c r="Q245" s="27">
        <v>5862.2134999999998</v>
      </c>
      <c r="R245" s="27">
        <v>827040.30500000005</v>
      </c>
      <c r="S245" s="27">
        <f t="shared" si="3"/>
        <v>0.13276414878958456</v>
      </c>
    </row>
    <row r="246" spans="1:19" x14ac:dyDescent="0.25">
      <c r="A246" s="19">
        <v>239</v>
      </c>
      <c r="B246" s="19" t="s">
        <v>60</v>
      </c>
      <c r="C246" s="19" t="s">
        <v>98</v>
      </c>
      <c r="D246" s="19" t="s">
        <v>104</v>
      </c>
      <c r="E246" s="25" t="s">
        <v>105</v>
      </c>
      <c r="F246" s="25" t="s">
        <v>584</v>
      </c>
      <c r="G246" s="25" t="s">
        <v>97</v>
      </c>
      <c r="H246" s="26">
        <v>42289</v>
      </c>
      <c r="I246" s="25">
        <v>3677</v>
      </c>
      <c r="J246" s="25" t="s">
        <v>220</v>
      </c>
      <c r="K246" s="27">
        <v>4805168.1490000002</v>
      </c>
      <c r="L246" s="25">
        <v>70</v>
      </c>
      <c r="M246" s="27">
        <v>84.272957142857166</v>
      </c>
      <c r="N246" s="27">
        <v>91.435249999999996</v>
      </c>
      <c r="O246" s="27">
        <v>120.17912779818496</v>
      </c>
      <c r="P246" s="27">
        <v>6140.32</v>
      </c>
      <c r="Q246" s="27">
        <v>6202.1284999999998</v>
      </c>
      <c r="R246" s="27">
        <v>429822.40300000022</v>
      </c>
      <c r="S246" s="27">
        <f t="shared" si="3"/>
        <v>8.9450023323210906E-2</v>
      </c>
    </row>
    <row r="247" spans="1:19" x14ac:dyDescent="0.25">
      <c r="A247" s="19">
        <v>240</v>
      </c>
      <c r="B247" s="19" t="s">
        <v>60</v>
      </c>
      <c r="C247" s="19" t="s">
        <v>98</v>
      </c>
      <c r="D247" s="19" t="s">
        <v>104</v>
      </c>
      <c r="E247" s="25" t="s">
        <v>105</v>
      </c>
      <c r="F247" s="25" t="s">
        <v>585</v>
      </c>
      <c r="G247" s="25" t="s">
        <v>96</v>
      </c>
      <c r="H247" s="26">
        <v>42289</v>
      </c>
      <c r="I247" s="25">
        <v>3678</v>
      </c>
      <c r="J247" s="25" t="s">
        <v>307</v>
      </c>
      <c r="K247" s="27">
        <v>4811979.9759999998</v>
      </c>
      <c r="L247" s="25">
        <v>123</v>
      </c>
      <c r="M247" s="27">
        <v>71.692691056910533</v>
      </c>
      <c r="N247" s="27">
        <v>75.316000000000003</v>
      </c>
      <c r="O247" s="27">
        <v>98.507025560529257</v>
      </c>
      <c r="P247" s="27">
        <v>4500.3530000000001</v>
      </c>
      <c r="Q247" s="27">
        <v>4402.2030000000004</v>
      </c>
      <c r="R247" s="27">
        <v>553543.37499999965</v>
      </c>
      <c r="S247" s="27">
        <f t="shared" si="3"/>
        <v>0.11503443026796163</v>
      </c>
    </row>
    <row r="248" spans="1:19" x14ac:dyDescent="0.25">
      <c r="A248" s="19">
        <v>241</v>
      </c>
      <c r="B248" s="19" t="s">
        <v>60</v>
      </c>
      <c r="C248" s="19" t="s">
        <v>98</v>
      </c>
      <c r="D248" s="19" t="s">
        <v>104</v>
      </c>
      <c r="E248" s="25" t="s">
        <v>105</v>
      </c>
      <c r="F248" s="25" t="s">
        <v>586</v>
      </c>
      <c r="G248" s="25" t="s">
        <v>97</v>
      </c>
      <c r="H248" s="26">
        <v>42289</v>
      </c>
      <c r="I248" s="25">
        <v>3679</v>
      </c>
      <c r="J248" s="25" t="s">
        <v>361</v>
      </c>
      <c r="K248" s="27">
        <v>3521820.3459999999</v>
      </c>
      <c r="L248" s="25">
        <v>94</v>
      </c>
      <c r="M248" s="27">
        <v>64.959648936170211</v>
      </c>
      <c r="N248" s="27">
        <v>63.965249999999997</v>
      </c>
      <c r="O248" s="27">
        <v>99.600171942570086</v>
      </c>
      <c r="P248" s="27">
        <v>3754.29</v>
      </c>
      <c r="Q248" s="27">
        <v>3058.6480000000001</v>
      </c>
      <c r="R248" s="27">
        <v>352903.22200000001</v>
      </c>
      <c r="S248" s="27">
        <f t="shared" si="3"/>
        <v>0.10020477688500469</v>
      </c>
    </row>
    <row r="249" spans="1:19" x14ac:dyDescent="0.25">
      <c r="A249" s="19">
        <v>242</v>
      </c>
      <c r="B249" s="19" t="s">
        <v>60</v>
      </c>
      <c r="C249" s="19" t="s">
        <v>98</v>
      </c>
      <c r="D249" s="19" t="s">
        <v>104</v>
      </c>
      <c r="E249" s="25" t="s">
        <v>105</v>
      </c>
      <c r="F249" s="25" t="s">
        <v>624</v>
      </c>
      <c r="G249" s="25" t="s">
        <v>96</v>
      </c>
      <c r="H249" s="26">
        <v>42298</v>
      </c>
      <c r="I249" s="25">
        <v>5073</v>
      </c>
      <c r="J249" s="25" t="s">
        <v>353</v>
      </c>
      <c r="K249" s="27">
        <v>5408003.2209999999</v>
      </c>
      <c r="L249" s="25">
        <v>96</v>
      </c>
      <c r="M249" s="27">
        <v>99.278130208333337</v>
      </c>
      <c r="N249" s="27">
        <v>104.40049999999999</v>
      </c>
      <c r="O249" s="27">
        <v>122.19258545744017</v>
      </c>
      <c r="P249" s="27">
        <v>8075.4679999999998</v>
      </c>
      <c r="Q249" s="27">
        <v>8155.1494999999995</v>
      </c>
      <c r="R249" s="27">
        <v>775244.92600000021</v>
      </c>
      <c r="S249" s="27">
        <f t="shared" si="3"/>
        <v>0.14335141720878058</v>
      </c>
    </row>
    <row r="250" spans="1:19" x14ac:dyDescent="0.25">
      <c r="A250" s="19">
        <v>243</v>
      </c>
      <c r="B250" s="19" t="s">
        <v>60</v>
      </c>
      <c r="C250" s="19" t="s">
        <v>98</v>
      </c>
      <c r="D250" s="19" t="s">
        <v>104</v>
      </c>
      <c r="E250" s="25" t="s">
        <v>105</v>
      </c>
      <c r="F250" s="25" t="s">
        <v>623</v>
      </c>
      <c r="G250" s="25" t="s">
        <v>97</v>
      </c>
      <c r="H250" s="26">
        <v>42298</v>
      </c>
      <c r="I250" s="25">
        <v>5073</v>
      </c>
      <c r="J250" s="25" t="s">
        <v>346</v>
      </c>
      <c r="K250" s="27">
        <v>6690810.5209999997</v>
      </c>
      <c r="L250" s="25">
        <v>95</v>
      </c>
      <c r="M250" s="27">
        <v>114.91623157894738</v>
      </c>
      <c r="N250" s="27">
        <v>118.148</v>
      </c>
      <c r="O250" s="27">
        <v>145.87590835551026</v>
      </c>
      <c r="P250" s="27">
        <v>10846.362999999999</v>
      </c>
      <c r="Q250" s="27">
        <v>10592.546</v>
      </c>
      <c r="R250" s="27">
        <v>1030404.4449999998</v>
      </c>
      <c r="S250" s="27">
        <f t="shared" si="3"/>
        <v>0.15400293309247637</v>
      </c>
    </row>
    <row r="251" spans="1:19" x14ac:dyDescent="0.25">
      <c r="A251" s="19">
        <v>244</v>
      </c>
      <c r="B251" s="19" t="s">
        <v>60</v>
      </c>
      <c r="C251" s="19" t="s">
        <v>98</v>
      </c>
      <c r="D251" s="19" t="s">
        <v>104</v>
      </c>
      <c r="E251" s="25" t="s">
        <v>105</v>
      </c>
      <c r="F251" s="25" t="s">
        <v>625</v>
      </c>
      <c r="G251" s="25" t="s">
        <v>96</v>
      </c>
      <c r="H251" s="26">
        <v>42293</v>
      </c>
      <c r="I251" s="25">
        <v>5075</v>
      </c>
      <c r="J251" s="25" t="s">
        <v>147</v>
      </c>
      <c r="K251" s="27">
        <v>2936839.6</v>
      </c>
      <c r="L251" s="25">
        <v>393</v>
      </c>
      <c r="M251" s="27">
        <v>41.913553435114487</v>
      </c>
      <c r="N251" s="27">
        <v>42.119500000000002</v>
      </c>
      <c r="O251" s="27">
        <v>48.037125442392373</v>
      </c>
      <c r="P251" s="27">
        <v>1370.6310000000001</v>
      </c>
      <c r="Q251" s="27">
        <v>1337.2539999999999</v>
      </c>
      <c r="R251" s="27">
        <v>538657.84200000018</v>
      </c>
      <c r="S251" s="27">
        <f t="shared" si="3"/>
        <v>0.18341411699842244</v>
      </c>
    </row>
    <row r="252" spans="1:19" x14ac:dyDescent="0.25">
      <c r="A252" s="19">
        <v>245</v>
      </c>
      <c r="B252" s="19" t="s">
        <v>60</v>
      </c>
      <c r="C252" s="19" t="s">
        <v>98</v>
      </c>
      <c r="D252" s="19" t="s">
        <v>104</v>
      </c>
      <c r="E252" s="25" t="s">
        <v>105</v>
      </c>
      <c r="F252" s="25" t="s">
        <v>626</v>
      </c>
      <c r="G252" s="25" t="s">
        <v>97</v>
      </c>
      <c r="H252" s="26">
        <v>42286</v>
      </c>
      <c r="I252" s="25">
        <v>5076</v>
      </c>
      <c r="J252" s="25" t="s">
        <v>505</v>
      </c>
      <c r="K252" s="27">
        <v>4594186.3289999999</v>
      </c>
      <c r="L252" s="25">
        <v>104</v>
      </c>
      <c r="M252" s="27">
        <v>63.208774038461527</v>
      </c>
      <c r="N252" s="27">
        <v>67.329750000000004</v>
      </c>
      <c r="O252" s="27">
        <v>86.748921692661526</v>
      </c>
      <c r="P252" s="27">
        <v>3460.9749999999999</v>
      </c>
      <c r="Q252" s="27">
        <v>3345.9355</v>
      </c>
      <c r="R252" s="27">
        <v>359941.4169999999</v>
      </c>
      <c r="S252" s="27">
        <f t="shared" si="3"/>
        <v>7.8347152514893117E-2</v>
      </c>
    </row>
    <row r="253" spans="1:19" x14ac:dyDescent="0.25">
      <c r="A253" s="19">
        <v>246</v>
      </c>
      <c r="B253" s="19" t="s">
        <v>60</v>
      </c>
      <c r="C253" s="19" t="s">
        <v>98</v>
      </c>
      <c r="D253" s="19" t="s">
        <v>104</v>
      </c>
      <c r="E253" s="25" t="s">
        <v>105</v>
      </c>
      <c r="F253" s="25" t="s">
        <v>627</v>
      </c>
      <c r="G253" s="25" t="s">
        <v>96</v>
      </c>
      <c r="H253" s="26">
        <v>42287</v>
      </c>
      <c r="I253" s="25">
        <v>5076</v>
      </c>
      <c r="J253" s="25" t="s">
        <v>505</v>
      </c>
      <c r="K253" s="27">
        <v>4043008.0049999999</v>
      </c>
      <c r="L253" s="25">
        <v>143</v>
      </c>
      <c r="M253" s="27">
        <v>52.393192307692317</v>
      </c>
      <c r="N253" s="27">
        <v>52.0105</v>
      </c>
      <c r="O253" s="27">
        <v>73.029378668636454</v>
      </c>
      <c r="P253" s="27">
        <v>2320.6590000000001</v>
      </c>
      <c r="Q253" s="27">
        <v>2103.1999999999998</v>
      </c>
      <c r="R253" s="27">
        <v>331854.18900000001</v>
      </c>
      <c r="S253" s="27">
        <f t="shared" si="3"/>
        <v>8.208101210524317E-2</v>
      </c>
    </row>
    <row r="254" spans="1:19" x14ac:dyDescent="0.25">
      <c r="A254" s="19">
        <v>247</v>
      </c>
      <c r="B254" s="19" t="s">
        <v>60</v>
      </c>
      <c r="C254" s="19" t="s">
        <v>98</v>
      </c>
      <c r="D254" s="19" t="s">
        <v>104</v>
      </c>
      <c r="E254" s="25" t="s">
        <v>105</v>
      </c>
      <c r="F254" s="25" t="s">
        <v>628</v>
      </c>
      <c r="G254" s="25" t="s">
        <v>97</v>
      </c>
      <c r="H254" s="26">
        <v>42294</v>
      </c>
      <c r="I254" s="25">
        <v>5085</v>
      </c>
      <c r="J254" s="25" t="s">
        <v>381</v>
      </c>
      <c r="K254" s="27">
        <v>5972945</v>
      </c>
      <c r="L254" s="25">
        <v>75</v>
      </c>
      <c r="M254" s="27">
        <v>112.36070666666664</v>
      </c>
      <c r="N254" s="27">
        <v>113.46299999999999</v>
      </c>
      <c r="O254" s="27">
        <v>148.45798809054213</v>
      </c>
      <c r="P254" s="27">
        <v>10355.648999999999</v>
      </c>
      <c r="Q254" s="27">
        <v>9428.2250000000004</v>
      </c>
      <c r="R254" s="27">
        <v>776673.67000000027</v>
      </c>
      <c r="S254" s="27">
        <f t="shared" si="3"/>
        <v>0.13003194738943691</v>
      </c>
    </row>
    <row r="255" spans="1:19" x14ac:dyDescent="0.25">
      <c r="A255" s="19">
        <v>248</v>
      </c>
      <c r="B255" s="19" t="s">
        <v>60</v>
      </c>
      <c r="C255" s="19" t="s">
        <v>98</v>
      </c>
      <c r="D255" s="19" t="s">
        <v>104</v>
      </c>
      <c r="E255" s="25" t="s">
        <v>105</v>
      </c>
      <c r="F255" s="25" t="s">
        <v>629</v>
      </c>
      <c r="G255" s="25" t="s">
        <v>97</v>
      </c>
      <c r="H255" s="26">
        <v>42294</v>
      </c>
      <c r="I255" s="25">
        <v>5086</v>
      </c>
      <c r="J255" s="25" t="s">
        <v>229</v>
      </c>
      <c r="K255" s="27">
        <v>6089275.3619999997</v>
      </c>
      <c r="L255" s="25">
        <v>241</v>
      </c>
      <c r="M255" s="27">
        <v>72.258446058091224</v>
      </c>
      <c r="N255" s="27">
        <v>76.753999999999991</v>
      </c>
      <c r="O255" s="27">
        <v>89.446150830626451</v>
      </c>
      <c r="P255" s="27">
        <v>4201.24</v>
      </c>
      <c r="Q255" s="27">
        <v>4381.1989999999996</v>
      </c>
      <c r="R255" s="27">
        <v>1012498.7769999999</v>
      </c>
      <c r="S255" s="27">
        <f t="shared" si="3"/>
        <v>0.16627574166188611</v>
      </c>
    </row>
    <row r="256" spans="1:19" x14ac:dyDescent="0.25">
      <c r="A256" s="19">
        <v>249</v>
      </c>
      <c r="B256" s="19" t="s">
        <v>60</v>
      </c>
      <c r="C256" s="19" t="s">
        <v>98</v>
      </c>
      <c r="D256" s="19" t="s">
        <v>104</v>
      </c>
      <c r="E256" s="25" t="s">
        <v>105</v>
      </c>
      <c r="F256" s="25" t="s">
        <v>630</v>
      </c>
      <c r="G256" s="25" t="s">
        <v>96</v>
      </c>
      <c r="H256" s="26">
        <v>42293</v>
      </c>
      <c r="I256" s="25">
        <v>5094</v>
      </c>
      <c r="J256" s="25" t="s">
        <v>335</v>
      </c>
      <c r="K256" s="27">
        <v>4162573.2220000001</v>
      </c>
      <c r="L256" s="25">
        <v>243</v>
      </c>
      <c r="M256" s="27">
        <v>39.199979423868307</v>
      </c>
      <c r="N256" s="27">
        <v>40.710499999999996</v>
      </c>
      <c r="O256" s="27">
        <v>49.584563536165</v>
      </c>
      <c r="P256" s="27">
        <v>1246.5630000000001</v>
      </c>
      <c r="Q256" s="27">
        <v>1251.838</v>
      </c>
      <c r="R256" s="27">
        <v>302914.88899999985</v>
      </c>
      <c r="S256" s="27">
        <f t="shared" si="3"/>
        <v>7.2771065599287574E-2</v>
      </c>
    </row>
    <row r="257" spans="1:19" x14ac:dyDescent="0.25">
      <c r="A257" s="19">
        <v>250</v>
      </c>
      <c r="B257" s="19" t="s">
        <v>60</v>
      </c>
      <c r="C257" s="19" t="s">
        <v>98</v>
      </c>
      <c r="D257" s="19" t="s">
        <v>104</v>
      </c>
      <c r="E257" s="25" t="s">
        <v>105</v>
      </c>
      <c r="F257" s="25" t="s">
        <v>632</v>
      </c>
      <c r="G257" s="25" t="s">
        <v>96</v>
      </c>
      <c r="H257" s="26">
        <v>42287</v>
      </c>
      <c r="I257" s="25">
        <v>5095</v>
      </c>
      <c r="J257" s="25" t="s">
        <v>299</v>
      </c>
      <c r="K257" s="27">
        <v>3806553.7119999998</v>
      </c>
      <c r="L257" s="25">
        <v>321</v>
      </c>
      <c r="M257" s="27">
        <v>53.004789719626189</v>
      </c>
      <c r="N257" s="27">
        <v>55.700500000000005</v>
      </c>
      <c r="O257" s="27">
        <v>64.838750497708133</v>
      </c>
      <c r="P257" s="27">
        <v>2268.2429999999999</v>
      </c>
      <c r="Q257" s="27">
        <v>2317.674</v>
      </c>
      <c r="R257" s="27">
        <v>728106.14200000023</v>
      </c>
      <c r="S257" s="27">
        <f t="shared" si="3"/>
        <v>0.19127699149618627</v>
      </c>
    </row>
    <row r="258" spans="1:19" x14ac:dyDescent="0.25">
      <c r="A258" s="19">
        <v>251</v>
      </c>
      <c r="B258" s="19" t="s">
        <v>60</v>
      </c>
      <c r="C258" s="19" t="s">
        <v>98</v>
      </c>
      <c r="D258" s="19" t="s">
        <v>104</v>
      </c>
      <c r="E258" s="25" t="s">
        <v>105</v>
      </c>
      <c r="F258" s="25" t="s">
        <v>631</v>
      </c>
      <c r="G258" s="25" t="s">
        <v>97</v>
      </c>
      <c r="H258" s="26">
        <v>42287</v>
      </c>
      <c r="I258" s="25">
        <v>5095</v>
      </c>
      <c r="J258" s="25" t="s">
        <v>299</v>
      </c>
      <c r="K258" s="27">
        <v>5139130.2010000004</v>
      </c>
      <c r="L258" s="25">
        <v>294</v>
      </c>
      <c r="M258" s="27">
        <v>58.130721088435351</v>
      </c>
      <c r="N258" s="27">
        <v>58.359749999999998</v>
      </c>
      <c r="O258" s="27">
        <v>68.314869520992687</v>
      </c>
      <c r="P258" s="27">
        <v>2647.663</v>
      </c>
      <c r="Q258" s="27">
        <v>2587.3415</v>
      </c>
      <c r="R258" s="27">
        <v>778412.799</v>
      </c>
      <c r="S258" s="27">
        <f t="shared" si="3"/>
        <v>0.15146781041829455</v>
      </c>
    </row>
    <row r="259" spans="1:19" x14ac:dyDescent="0.25">
      <c r="A259" s="19">
        <v>252</v>
      </c>
      <c r="B259" s="19" t="s">
        <v>60</v>
      </c>
      <c r="C259" s="19" t="s">
        <v>98</v>
      </c>
      <c r="D259" s="19" t="s">
        <v>104</v>
      </c>
      <c r="E259" s="25" t="s">
        <v>105</v>
      </c>
      <c r="F259" s="25" t="s">
        <v>635</v>
      </c>
      <c r="G259" s="25" t="s">
        <v>96</v>
      </c>
      <c r="H259" s="26">
        <v>42287</v>
      </c>
      <c r="I259" s="25">
        <v>5100</v>
      </c>
      <c r="J259" s="32" t="s">
        <v>219</v>
      </c>
      <c r="K259" s="27">
        <v>5359907.3490000004</v>
      </c>
      <c r="L259" s="25">
        <v>90</v>
      </c>
      <c r="M259" s="27">
        <v>79.273699999999963</v>
      </c>
      <c r="N259" s="27">
        <v>84.238</v>
      </c>
      <c r="O259" s="27">
        <v>103.53801143484066</v>
      </c>
      <c r="P259" s="27">
        <v>5207.3609999999999</v>
      </c>
      <c r="Q259" s="27">
        <v>5150.1785</v>
      </c>
      <c r="R259" s="27">
        <v>468662.51399999979</v>
      </c>
      <c r="S259" s="27">
        <f t="shared" si="3"/>
        <v>8.7438547624790253E-2</v>
      </c>
    </row>
    <row r="260" spans="1:19" x14ac:dyDescent="0.25">
      <c r="A260" s="19">
        <v>253</v>
      </c>
      <c r="B260" s="19" t="s">
        <v>60</v>
      </c>
      <c r="C260" s="19" t="s">
        <v>98</v>
      </c>
      <c r="D260" s="19" t="s">
        <v>104</v>
      </c>
      <c r="E260" s="25" t="s">
        <v>105</v>
      </c>
      <c r="F260" s="25" t="s">
        <v>634</v>
      </c>
      <c r="G260" s="25" t="s">
        <v>97</v>
      </c>
      <c r="H260" s="26">
        <v>42287</v>
      </c>
      <c r="I260" s="25">
        <v>5100</v>
      </c>
      <c r="J260" s="32" t="s">
        <v>219</v>
      </c>
      <c r="K260" s="27">
        <v>6019577.3530000001</v>
      </c>
      <c r="L260" s="25">
        <v>85</v>
      </c>
      <c r="M260" s="27">
        <v>81.97791764705886</v>
      </c>
      <c r="N260" s="27">
        <v>87.902999999999992</v>
      </c>
      <c r="O260" s="27">
        <v>104.65365553648763</v>
      </c>
      <c r="P260" s="27">
        <v>5535.6139999999996</v>
      </c>
      <c r="Q260" s="27">
        <v>5848.2110000000002</v>
      </c>
      <c r="R260" s="27">
        <v>470527.2</v>
      </c>
      <c r="S260" s="27">
        <f t="shared" si="3"/>
        <v>7.8166152274046538E-2</v>
      </c>
    </row>
    <row r="261" spans="1:19" x14ac:dyDescent="0.25">
      <c r="A261" s="19">
        <v>254</v>
      </c>
      <c r="B261" s="19" t="s">
        <v>60</v>
      </c>
      <c r="C261" s="19" t="s">
        <v>98</v>
      </c>
      <c r="D261" s="19" t="s">
        <v>104</v>
      </c>
      <c r="E261" s="25" t="s">
        <v>105</v>
      </c>
      <c r="F261" s="25" t="s">
        <v>636</v>
      </c>
      <c r="G261" s="25" t="s">
        <v>97</v>
      </c>
      <c r="H261" s="26">
        <v>42287</v>
      </c>
      <c r="I261" s="25">
        <v>5101</v>
      </c>
      <c r="J261" s="25" t="s">
        <v>350</v>
      </c>
      <c r="K261" s="27">
        <v>4623571.8449999997</v>
      </c>
      <c r="L261" s="25">
        <v>113</v>
      </c>
      <c r="M261" s="27">
        <v>95.436004424778801</v>
      </c>
      <c r="N261" s="27">
        <v>97.956000000000003</v>
      </c>
      <c r="O261" s="27">
        <v>127.6784893390365</v>
      </c>
      <c r="P261" s="27">
        <v>7662.4309999999996</v>
      </c>
      <c r="Q261" s="27">
        <v>7213.0039999999999</v>
      </c>
      <c r="R261" s="27">
        <v>865854.74899999984</v>
      </c>
      <c r="S261" s="27">
        <f t="shared" si="3"/>
        <v>0.18726966467198908</v>
      </c>
    </row>
    <row r="262" spans="1:19" x14ac:dyDescent="0.25">
      <c r="A262" s="19">
        <v>255</v>
      </c>
      <c r="B262" s="19" t="s">
        <v>383</v>
      </c>
      <c r="C262" s="19" t="s">
        <v>95</v>
      </c>
      <c r="D262" s="19" t="s">
        <v>1008</v>
      </c>
      <c r="E262" s="25" t="s">
        <v>659</v>
      </c>
      <c r="F262" s="25" t="s">
        <v>658</v>
      </c>
      <c r="G262" s="25" t="s">
        <v>97</v>
      </c>
      <c r="H262" s="26">
        <v>42277</v>
      </c>
      <c r="I262" s="25">
        <v>102828</v>
      </c>
      <c r="J262" s="25" t="s">
        <v>350</v>
      </c>
      <c r="K262" s="27">
        <v>5111986.2769999998</v>
      </c>
      <c r="L262" s="25">
        <v>134</v>
      </c>
      <c r="M262" s="27">
        <v>81.923563432835877</v>
      </c>
      <c r="N262" s="27">
        <v>86.955749999999995</v>
      </c>
      <c r="O262" s="27">
        <v>119.3261153438572</v>
      </c>
      <c r="P262" s="27">
        <v>6089.5810000000001</v>
      </c>
      <c r="Q262" s="27">
        <v>5660.9254999999994</v>
      </c>
      <c r="R262" s="27">
        <v>816003.87900000042</v>
      </c>
      <c r="S262" s="27">
        <f t="shared" si="3"/>
        <v>0.15962560045816032</v>
      </c>
    </row>
    <row r="263" spans="1:19" x14ac:dyDescent="0.25">
      <c r="A263" s="19">
        <v>256</v>
      </c>
      <c r="B263" s="19" t="s">
        <v>383</v>
      </c>
      <c r="C263" s="19" t="s">
        <v>95</v>
      </c>
      <c r="D263" s="19" t="s">
        <v>1008</v>
      </c>
      <c r="E263" s="25" t="s">
        <v>659</v>
      </c>
      <c r="F263" s="25" t="s">
        <v>660</v>
      </c>
      <c r="G263" s="25" t="s">
        <v>96</v>
      </c>
      <c r="H263" s="26">
        <v>42276</v>
      </c>
      <c r="I263" s="25">
        <v>102900</v>
      </c>
      <c r="J263" s="25" t="s">
        <v>263</v>
      </c>
      <c r="K263" s="27">
        <v>3164737.6850000001</v>
      </c>
      <c r="L263" s="25">
        <v>174</v>
      </c>
      <c r="M263" s="27">
        <v>52.310994252873542</v>
      </c>
      <c r="N263" s="27">
        <v>52.710750000000004</v>
      </c>
      <c r="O263" s="27">
        <v>68.476181466625135</v>
      </c>
      <c r="P263" s="27">
        <v>2223.5729999999999</v>
      </c>
      <c r="Q263" s="27">
        <v>1998.425</v>
      </c>
      <c r="R263" s="27">
        <v>386901.71499999997</v>
      </c>
      <c r="S263" s="27">
        <f t="shared" si="3"/>
        <v>0.1222539602046038</v>
      </c>
    </row>
    <row r="264" spans="1:19" x14ac:dyDescent="0.25">
      <c r="A264" s="19">
        <v>257</v>
      </c>
      <c r="B264" s="19" t="s">
        <v>383</v>
      </c>
      <c r="C264" s="19" t="s">
        <v>95</v>
      </c>
      <c r="D264" s="19" t="s">
        <v>1008</v>
      </c>
      <c r="E264" s="25" t="s">
        <v>659</v>
      </c>
      <c r="F264" s="25" t="s">
        <v>661</v>
      </c>
      <c r="G264" s="25" t="s">
        <v>97</v>
      </c>
      <c r="H264" s="26">
        <v>42278</v>
      </c>
      <c r="I264" s="25">
        <v>103118</v>
      </c>
      <c r="J264" s="25" t="s">
        <v>343</v>
      </c>
      <c r="K264" s="27">
        <v>5003534.2719999999</v>
      </c>
      <c r="L264" s="25">
        <v>198</v>
      </c>
      <c r="M264" s="27">
        <v>71.150207070707125</v>
      </c>
      <c r="N264" s="27">
        <v>79.901250000000005</v>
      </c>
      <c r="O264" s="27">
        <v>99.208761174755807</v>
      </c>
      <c r="P264" s="27">
        <v>4486.1260000000002</v>
      </c>
      <c r="Q264" s="27">
        <v>4797.6615000000002</v>
      </c>
      <c r="R264" s="27">
        <v>888252.9369999998</v>
      </c>
      <c r="S264" s="27">
        <f t="shared" ref="S264:S327" si="4">R264/K264</f>
        <v>0.17752510299983407</v>
      </c>
    </row>
    <row r="265" spans="1:19" x14ac:dyDescent="0.25">
      <c r="A265" s="19">
        <v>258</v>
      </c>
      <c r="B265" s="19" t="s">
        <v>383</v>
      </c>
      <c r="C265" s="19" t="s">
        <v>95</v>
      </c>
      <c r="D265" s="19" t="s">
        <v>1008</v>
      </c>
      <c r="E265" s="25" t="s">
        <v>659</v>
      </c>
      <c r="F265" s="25" t="s">
        <v>662</v>
      </c>
      <c r="G265" s="25" t="s">
        <v>97</v>
      </c>
      <c r="H265" s="26">
        <v>42278</v>
      </c>
      <c r="I265" s="25">
        <v>103225</v>
      </c>
      <c r="J265" s="25" t="s">
        <v>354</v>
      </c>
      <c r="K265" s="27">
        <v>5583876.6370000001</v>
      </c>
      <c r="L265" s="25">
        <v>144</v>
      </c>
      <c r="M265" s="27">
        <v>84.986774305555528</v>
      </c>
      <c r="N265" s="27">
        <v>91.432749999999999</v>
      </c>
      <c r="O265" s="27">
        <v>117.47076830261531</v>
      </c>
      <c r="P265" s="27">
        <v>6450.6120000000001</v>
      </c>
      <c r="Q265" s="27">
        <v>6220.6819999999998</v>
      </c>
      <c r="R265" s="27">
        <v>928888.18499999994</v>
      </c>
      <c r="S265" s="27">
        <f t="shared" si="4"/>
        <v>0.16635184574905929</v>
      </c>
    </row>
    <row r="266" spans="1:19" x14ac:dyDescent="0.25">
      <c r="A266" s="19">
        <v>259</v>
      </c>
      <c r="B266" s="19" t="s">
        <v>383</v>
      </c>
      <c r="C266" s="19" t="s">
        <v>95</v>
      </c>
      <c r="D266" s="19" t="s">
        <v>1008</v>
      </c>
      <c r="E266" s="25" t="s">
        <v>659</v>
      </c>
      <c r="F266" s="25" t="s">
        <v>663</v>
      </c>
      <c r="G266" s="25" t="s">
        <v>97</v>
      </c>
      <c r="H266" s="26">
        <v>42278</v>
      </c>
      <c r="I266" s="25">
        <v>103514</v>
      </c>
      <c r="J266" s="25" t="s">
        <v>344</v>
      </c>
      <c r="K266" s="27">
        <v>5386692.5719999997</v>
      </c>
      <c r="L266" s="25">
        <v>129</v>
      </c>
      <c r="M266" s="27">
        <v>83.901918604651144</v>
      </c>
      <c r="N266" s="27">
        <v>91.956999999999994</v>
      </c>
      <c r="O266" s="27">
        <v>116.38757845453891</v>
      </c>
      <c r="P266" s="27">
        <v>6292.3180000000002</v>
      </c>
      <c r="Q266" s="27">
        <v>6277.1589999999997</v>
      </c>
      <c r="R266" s="27">
        <v>811709.02800000028</v>
      </c>
      <c r="S266" s="27">
        <f t="shared" si="4"/>
        <v>0.15068783249656006</v>
      </c>
    </row>
    <row r="267" spans="1:19" x14ac:dyDescent="0.25">
      <c r="A267" s="19">
        <v>260</v>
      </c>
      <c r="B267" s="19" t="s">
        <v>383</v>
      </c>
      <c r="C267" s="19" t="s">
        <v>95</v>
      </c>
      <c r="D267" s="19" t="s">
        <v>1008</v>
      </c>
      <c r="E267" s="25" t="s">
        <v>659</v>
      </c>
      <c r="F267" s="25" t="s">
        <v>664</v>
      </c>
      <c r="G267" s="25" t="s">
        <v>97</v>
      </c>
      <c r="H267" s="26">
        <v>42275</v>
      </c>
      <c r="I267" s="25">
        <v>103520</v>
      </c>
      <c r="J267" s="25" t="s">
        <v>343</v>
      </c>
      <c r="K267" s="27">
        <v>6376287.8949999996</v>
      </c>
      <c r="L267" s="25">
        <v>231</v>
      </c>
      <c r="M267" s="27">
        <v>68.263922077922061</v>
      </c>
      <c r="N267" s="27">
        <v>63.281499999999994</v>
      </c>
      <c r="O267" s="27">
        <v>130.40242586748212</v>
      </c>
      <c r="P267" s="27">
        <v>5102.42</v>
      </c>
      <c r="Q267" s="27">
        <v>2899.2510000000002</v>
      </c>
      <c r="R267" s="27">
        <v>1178659.0159999994</v>
      </c>
      <c r="S267" s="27">
        <f t="shared" si="4"/>
        <v>0.18485034481022275</v>
      </c>
    </row>
    <row r="268" spans="1:19" x14ac:dyDescent="0.25">
      <c r="A268" s="19">
        <v>261</v>
      </c>
      <c r="B268" s="19" t="s">
        <v>383</v>
      </c>
      <c r="C268" s="19" t="s">
        <v>95</v>
      </c>
      <c r="D268" s="19" t="s">
        <v>1008</v>
      </c>
      <c r="E268" s="25" t="s">
        <v>659</v>
      </c>
      <c r="F268" s="25" t="s">
        <v>665</v>
      </c>
      <c r="G268" s="25" t="s">
        <v>96</v>
      </c>
      <c r="H268" s="26">
        <v>42275</v>
      </c>
      <c r="I268" s="25">
        <v>103715</v>
      </c>
      <c r="J268" s="25" t="s">
        <v>258</v>
      </c>
      <c r="K268" s="27">
        <v>4529448.7620000001</v>
      </c>
      <c r="L268" s="25">
        <v>178</v>
      </c>
      <c r="M268" s="27">
        <v>74.107983146067383</v>
      </c>
      <c r="N268" s="27">
        <v>75.577249999999992</v>
      </c>
      <c r="O268" s="27">
        <v>90.825643329983578</v>
      </c>
      <c r="P268" s="27">
        <v>4298.473</v>
      </c>
      <c r="Q268" s="27">
        <v>4212.3505000000005</v>
      </c>
      <c r="R268" s="27">
        <v>765128.2379999999</v>
      </c>
      <c r="S268" s="27">
        <f t="shared" si="4"/>
        <v>0.16892303637896852</v>
      </c>
    </row>
    <row r="269" spans="1:19" x14ac:dyDescent="0.25">
      <c r="A269" s="19">
        <v>262</v>
      </c>
      <c r="B269" s="19" t="s">
        <v>383</v>
      </c>
      <c r="C269" s="19" t="s">
        <v>95</v>
      </c>
      <c r="D269" s="19" t="s">
        <v>1008</v>
      </c>
      <c r="E269" s="25" t="s">
        <v>659</v>
      </c>
      <c r="F269" s="25" t="s">
        <v>666</v>
      </c>
      <c r="G269" s="25" t="s">
        <v>96</v>
      </c>
      <c r="H269" s="26">
        <v>42275</v>
      </c>
      <c r="I269" s="25">
        <v>110043</v>
      </c>
      <c r="J269" s="25" t="s">
        <v>276</v>
      </c>
      <c r="K269" s="27">
        <v>6125015.5199999996</v>
      </c>
      <c r="L269" s="25">
        <v>193</v>
      </c>
      <c r="M269" s="27">
        <v>73.798126943005173</v>
      </c>
      <c r="N269" s="27">
        <v>70.774500000000003</v>
      </c>
      <c r="O269" s="27">
        <v>98.415448966731532</v>
      </c>
      <c r="P269" s="27">
        <v>4462.4470000000001</v>
      </c>
      <c r="Q269" s="27">
        <v>3741.2779999999998</v>
      </c>
      <c r="R269" s="27">
        <v>861252.30400000024</v>
      </c>
      <c r="S269" s="27">
        <f t="shared" si="4"/>
        <v>0.14061226476696345</v>
      </c>
    </row>
    <row r="270" spans="1:19" x14ac:dyDescent="0.25">
      <c r="A270" s="19">
        <v>263</v>
      </c>
      <c r="B270" s="19" t="s">
        <v>383</v>
      </c>
      <c r="C270" s="19" t="s">
        <v>95</v>
      </c>
      <c r="D270" s="19" t="s">
        <v>1008</v>
      </c>
      <c r="E270" s="25" t="s">
        <v>659</v>
      </c>
      <c r="F270" s="25" t="s">
        <v>667</v>
      </c>
      <c r="G270" s="25" t="s">
        <v>97</v>
      </c>
      <c r="H270" s="26">
        <v>42278</v>
      </c>
      <c r="I270" s="25">
        <v>112578</v>
      </c>
      <c r="J270" s="25" t="s">
        <v>305</v>
      </c>
      <c r="K270" s="27">
        <v>5073145.4639999997</v>
      </c>
      <c r="L270" s="25">
        <v>197</v>
      </c>
      <c r="M270" s="27">
        <v>49.905758883248694</v>
      </c>
      <c r="N270" s="27">
        <v>52.19</v>
      </c>
      <c r="O270" s="27">
        <v>83.145432756753834</v>
      </c>
      <c r="P270" s="27">
        <v>2374.694</v>
      </c>
      <c r="Q270" s="27">
        <v>1990.011</v>
      </c>
      <c r="R270" s="27">
        <v>467814.65</v>
      </c>
      <c r="S270" s="27">
        <f t="shared" si="4"/>
        <v>9.2213923949096541E-2</v>
      </c>
    </row>
    <row r="271" spans="1:19" x14ac:dyDescent="0.25">
      <c r="A271" s="19">
        <v>264</v>
      </c>
      <c r="B271" s="19" t="s">
        <v>383</v>
      </c>
      <c r="C271" s="19" t="s">
        <v>95</v>
      </c>
      <c r="D271" s="19" t="s">
        <v>1008</v>
      </c>
      <c r="E271" s="25" t="s">
        <v>659</v>
      </c>
      <c r="F271" s="25" t="s">
        <v>668</v>
      </c>
      <c r="G271" s="25" t="s">
        <v>96</v>
      </c>
      <c r="H271" s="26">
        <v>42278</v>
      </c>
      <c r="I271" s="25">
        <v>112783</v>
      </c>
      <c r="J271" s="25" t="s">
        <v>141</v>
      </c>
      <c r="K271" s="27">
        <v>4609376.648</v>
      </c>
      <c r="L271" s="25">
        <v>109</v>
      </c>
      <c r="M271" s="27">
        <v>72.679444954128471</v>
      </c>
      <c r="N271" s="27">
        <v>75.632499999999993</v>
      </c>
      <c r="O271" s="27">
        <v>111.48080777511586</v>
      </c>
      <c r="P271" s="27">
        <v>4662.9629999999997</v>
      </c>
      <c r="Q271" s="27">
        <v>4236.0379999999996</v>
      </c>
      <c r="R271" s="27">
        <v>508262.96799999994</v>
      </c>
      <c r="S271" s="27">
        <f t="shared" si="4"/>
        <v>0.11026718075220307</v>
      </c>
    </row>
    <row r="272" spans="1:19" x14ac:dyDescent="0.25">
      <c r="A272" s="19">
        <v>265</v>
      </c>
      <c r="B272" s="19" t="s">
        <v>383</v>
      </c>
      <c r="C272" s="19" t="s">
        <v>95</v>
      </c>
      <c r="D272" s="19" t="s">
        <v>1008</v>
      </c>
      <c r="E272" s="25" t="s">
        <v>659</v>
      </c>
      <c r="F272" s="25" t="s">
        <v>669</v>
      </c>
      <c r="G272" s="25" t="s">
        <v>96</v>
      </c>
      <c r="H272" s="26">
        <v>42265</v>
      </c>
      <c r="I272" s="25">
        <v>112794</v>
      </c>
      <c r="J272" s="25" t="s">
        <v>217</v>
      </c>
      <c r="K272" s="27">
        <v>5681988.6109999996</v>
      </c>
      <c r="L272" s="25">
        <v>184</v>
      </c>
      <c r="M272" s="27">
        <v>56.362432065217334</v>
      </c>
      <c r="N272" s="27">
        <v>55.841250000000002</v>
      </c>
      <c r="O272" s="27">
        <v>82.486000443073635</v>
      </c>
      <c r="P272" s="27">
        <v>2641.3670000000002</v>
      </c>
      <c r="Q272" s="27">
        <v>2277.1824999999999</v>
      </c>
      <c r="R272" s="27">
        <v>486011.57599999988</v>
      </c>
      <c r="S272" s="27">
        <f t="shared" si="4"/>
        <v>8.5535471693679518E-2</v>
      </c>
    </row>
    <row r="273" spans="1:19" x14ac:dyDescent="0.25">
      <c r="A273" s="19">
        <v>266</v>
      </c>
      <c r="B273" s="19" t="s">
        <v>383</v>
      </c>
      <c r="C273" s="19" t="s">
        <v>95</v>
      </c>
      <c r="D273" s="19" t="s">
        <v>1008</v>
      </c>
      <c r="E273" s="25" t="s">
        <v>659</v>
      </c>
      <c r="F273" s="25" t="s">
        <v>670</v>
      </c>
      <c r="G273" s="25" t="s">
        <v>96</v>
      </c>
      <c r="H273" s="26">
        <v>42265</v>
      </c>
      <c r="I273" s="25">
        <v>112829</v>
      </c>
      <c r="J273" s="25" t="s">
        <v>350</v>
      </c>
      <c r="K273" s="27">
        <v>4993571.3969999999</v>
      </c>
      <c r="L273" s="25">
        <v>152</v>
      </c>
      <c r="M273" s="27">
        <v>88.867129832704094</v>
      </c>
      <c r="N273" s="27">
        <v>91.994669999999999</v>
      </c>
      <c r="O273" s="27">
        <v>123.22630282275701</v>
      </c>
      <c r="P273" s="27">
        <v>7304.2579999999998</v>
      </c>
      <c r="Q273" s="27">
        <v>5900.2174000000005</v>
      </c>
      <c r="R273" s="27">
        <v>910217.54299999995</v>
      </c>
      <c r="S273" s="27">
        <f t="shared" si="4"/>
        <v>0.18227786700853693</v>
      </c>
    </row>
    <row r="274" spans="1:19" x14ac:dyDescent="0.25">
      <c r="A274" s="19">
        <v>267</v>
      </c>
      <c r="B274" s="19" t="s">
        <v>383</v>
      </c>
      <c r="C274" s="19" t="s">
        <v>95</v>
      </c>
      <c r="D274" s="19" t="s">
        <v>1008</v>
      </c>
      <c r="E274" s="25" t="s">
        <v>659</v>
      </c>
      <c r="F274" s="25" t="s">
        <v>671</v>
      </c>
      <c r="G274" s="25" t="s">
        <v>96</v>
      </c>
      <c r="H274" s="26">
        <v>42276</v>
      </c>
      <c r="I274" s="25">
        <v>112861</v>
      </c>
      <c r="J274" s="25" t="s">
        <v>314</v>
      </c>
      <c r="K274" s="27">
        <v>4290156.13</v>
      </c>
      <c r="L274" s="25">
        <v>165</v>
      </c>
      <c r="M274" s="27">
        <v>61.894263636363611</v>
      </c>
      <c r="N274" s="27">
        <v>62.012</v>
      </c>
      <c r="O274" s="27">
        <v>73.126332495405492</v>
      </c>
      <c r="P274" s="27">
        <v>3032.029</v>
      </c>
      <c r="Q274" s="27">
        <v>2809.8670000000002</v>
      </c>
      <c r="R274" s="27">
        <v>500284.7240000001</v>
      </c>
      <c r="S274" s="27">
        <f t="shared" si="4"/>
        <v>0.11661224180202508</v>
      </c>
    </row>
    <row r="275" spans="1:19" x14ac:dyDescent="0.25">
      <c r="A275" s="19">
        <v>268</v>
      </c>
      <c r="B275" s="19" t="s">
        <v>383</v>
      </c>
      <c r="C275" s="19" t="s">
        <v>95</v>
      </c>
      <c r="D275" s="19" t="s">
        <v>1008</v>
      </c>
      <c r="E275" s="25" t="s">
        <v>659</v>
      </c>
      <c r="F275" s="25" t="s">
        <v>672</v>
      </c>
      <c r="G275" s="25" t="s">
        <v>96</v>
      </c>
      <c r="H275" s="26">
        <v>42265</v>
      </c>
      <c r="I275" s="25">
        <v>112862</v>
      </c>
      <c r="J275" s="25" t="s">
        <v>280</v>
      </c>
      <c r="K275" s="27">
        <v>4376204.8119999999</v>
      </c>
      <c r="L275" s="25">
        <v>139</v>
      </c>
      <c r="M275" s="27">
        <v>51.513194244604293</v>
      </c>
      <c r="N275" s="27">
        <v>48.980000000000004</v>
      </c>
      <c r="O275" s="27">
        <v>80.181725392862518</v>
      </c>
      <c r="P275" s="27">
        <v>2306.6880000000001</v>
      </c>
      <c r="Q275" s="27">
        <v>1715.559</v>
      </c>
      <c r="R275" s="27">
        <v>320629.65100000007</v>
      </c>
      <c r="S275" s="27">
        <f t="shared" si="4"/>
        <v>7.326660080460605E-2</v>
      </c>
    </row>
    <row r="276" spans="1:19" x14ac:dyDescent="0.25">
      <c r="A276" s="19">
        <v>269</v>
      </c>
      <c r="B276" s="19" t="s">
        <v>383</v>
      </c>
      <c r="C276" s="19" t="s">
        <v>95</v>
      </c>
      <c r="D276" s="19" t="s">
        <v>1008</v>
      </c>
      <c r="E276" s="25" t="s">
        <v>659</v>
      </c>
      <c r="F276" s="25" t="s">
        <v>673</v>
      </c>
      <c r="G276" s="25" t="s">
        <v>96</v>
      </c>
      <c r="H276" s="26">
        <v>42265</v>
      </c>
      <c r="I276" s="25">
        <v>112865</v>
      </c>
      <c r="J276" s="25" t="s">
        <v>133</v>
      </c>
      <c r="K276" s="27">
        <v>3901733.0630000001</v>
      </c>
      <c r="L276" s="25">
        <v>187</v>
      </c>
      <c r="M276" s="27">
        <v>52.578526737967884</v>
      </c>
      <c r="N276" s="27">
        <v>53.751999999999995</v>
      </c>
      <c r="O276" s="27">
        <v>63.689991341576167</v>
      </c>
      <c r="P276" s="27">
        <v>2226.056</v>
      </c>
      <c r="Q276" s="27">
        <v>2169.712</v>
      </c>
      <c r="R276" s="27">
        <v>416272.4910000001</v>
      </c>
      <c r="S276" s="27">
        <f t="shared" si="4"/>
        <v>0.10668912615973085</v>
      </c>
    </row>
    <row r="277" spans="1:19" x14ac:dyDescent="0.25">
      <c r="A277" s="19">
        <v>270</v>
      </c>
      <c r="B277" s="19" t="s">
        <v>383</v>
      </c>
      <c r="C277" s="19" t="s">
        <v>95</v>
      </c>
      <c r="D277" s="19" t="s">
        <v>1008</v>
      </c>
      <c r="E277" s="25" t="s">
        <v>659</v>
      </c>
      <c r="F277" s="25" t="s">
        <v>674</v>
      </c>
      <c r="G277" s="25" t="s">
        <v>96</v>
      </c>
      <c r="H277" s="26">
        <v>42276</v>
      </c>
      <c r="I277" s="25">
        <v>112875</v>
      </c>
      <c r="J277" s="25" t="s">
        <v>294</v>
      </c>
      <c r="K277" s="27">
        <v>3806667.8339999998</v>
      </c>
      <c r="L277" s="25">
        <v>247</v>
      </c>
      <c r="M277" s="27">
        <v>34.643623481781368</v>
      </c>
      <c r="N277" s="27">
        <v>30.863</v>
      </c>
      <c r="O277" s="27">
        <v>60.967891174864207</v>
      </c>
      <c r="P277" s="27">
        <v>1085.943</v>
      </c>
      <c r="Q277" s="27">
        <v>688.93100000000004</v>
      </c>
      <c r="R277" s="27">
        <v>268227.9599999999</v>
      </c>
      <c r="S277" s="27">
        <f t="shared" si="4"/>
        <v>7.0462664907158259E-2</v>
      </c>
    </row>
    <row r="278" spans="1:19" x14ac:dyDescent="0.25">
      <c r="A278" s="19">
        <v>271</v>
      </c>
      <c r="B278" s="19" t="s">
        <v>383</v>
      </c>
      <c r="C278" s="19" t="s">
        <v>95</v>
      </c>
      <c r="D278" s="19" t="s">
        <v>1008</v>
      </c>
      <c r="E278" s="25" t="s">
        <v>659</v>
      </c>
      <c r="F278" s="25" t="s">
        <v>675</v>
      </c>
      <c r="G278" s="25" t="s">
        <v>96</v>
      </c>
      <c r="H278" s="26">
        <v>42264</v>
      </c>
      <c r="I278" s="25">
        <v>112894</v>
      </c>
      <c r="J278" s="25" t="s">
        <v>287</v>
      </c>
      <c r="K278" s="27">
        <v>5057944.8760000002</v>
      </c>
      <c r="L278" s="25">
        <v>181</v>
      </c>
      <c r="M278" s="27">
        <v>52.60544751381218</v>
      </c>
      <c r="N278" s="27">
        <v>51.66</v>
      </c>
      <c r="O278" s="27">
        <v>74.714199107658587</v>
      </c>
      <c r="P278" s="27">
        <v>2332.2800000000002</v>
      </c>
      <c r="Q278" s="27">
        <v>1968.307</v>
      </c>
      <c r="R278" s="27">
        <v>422142.63700000005</v>
      </c>
      <c r="S278" s="27">
        <f t="shared" si="4"/>
        <v>8.34612965046478E-2</v>
      </c>
    </row>
    <row r="279" spans="1:19" x14ac:dyDescent="0.25">
      <c r="A279" s="19">
        <v>272</v>
      </c>
      <c r="B279" s="19" t="s">
        <v>383</v>
      </c>
      <c r="C279" s="19" t="s">
        <v>95</v>
      </c>
      <c r="D279" s="19" t="s">
        <v>1008</v>
      </c>
      <c r="E279" s="25" t="s">
        <v>659</v>
      </c>
      <c r="F279" s="25" t="s">
        <v>676</v>
      </c>
      <c r="G279" s="25" t="s">
        <v>97</v>
      </c>
      <c r="H279" s="26">
        <v>42277</v>
      </c>
      <c r="I279" s="25">
        <v>112931</v>
      </c>
      <c r="J279" s="25" t="s">
        <v>131</v>
      </c>
      <c r="K279" s="27">
        <v>6290035.7070000004</v>
      </c>
      <c r="L279" s="25">
        <v>234</v>
      </c>
      <c r="M279" s="27">
        <v>54.521670940170921</v>
      </c>
      <c r="N279" s="27">
        <v>55.452250000000006</v>
      </c>
      <c r="O279" s="27">
        <v>75.123070163072711</v>
      </c>
      <c r="P279" s="27">
        <v>2489.5079999999998</v>
      </c>
      <c r="Q279" s="27">
        <v>2308.4549999999999</v>
      </c>
      <c r="R279" s="27">
        <v>582544.97499999963</v>
      </c>
      <c r="S279" s="27">
        <f t="shared" si="4"/>
        <v>9.2613937684280875E-2</v>
      </c>
    </row>
    <row r="280" spans="1:19" x14ac:dyDescent="0.25">
      <c r="A280" s="19">
        <v>273</v>
      </c>
      <c r="B280" s="19" t="s">
        <v>383</v>
      </c>
      <c r="C280" s="19" t="s">
        <v>95</v>
      </c>
      <c r="D280" s="19" t="s">
        <v>1008</v>
      </c>
      <c r="E280" s="25" t="s">
        <v>659</v>
      </c>
      <c r="F280" s="25" t="s">
        <v>677</v>
      </c>
      <c r="G280" s="25" t="s">
        <v>96</v>
      </c>
      <c r="H280" s="26">
        <v>42277</v>
      </c>
      <c r="I280" s="25">
        <v>112942</v>
      </c>
      <c r="J280" s="25" t="s">
        <v>294</v>
      </c>
      <c r="K280" s="27">
        <v>5404710.0279999999</v>
      </c>
      <c r="L280" s="25">
        <v>264</v>
      </c>
      <c r="M280" s="27">
        <v>44.628132575757597</v>
      </c>
      <c r="N280" s="27">
        <v>41.541250000000005</v>
      </c>
      <c r="O280" s="27">
        <v>70.460514005509609</v>
      </c>
      <c r="P280" s="27">
        <v>1780.374</v>
      </c>
      <c r="Q280" s="27">
        <v>1274.1255000000001</v>
      </c>
      <c r="R280" s="27">
        <v>470018.67100000015</v>
      </c>
      <c r="S280" s="27">
        <f t="shared" si="4"/>
        <v>8.6964641685676053E-2</v>
      </c>
    </row>
    <row r="281" spans="1:19" x14ac:dyDescent="0.25">
      <c r="A281" s="19">
        <v>274</v>
      </c>
      <c r="B281" s="19" t="s">
        <v>383</v>
      </c>
      <c r="C281" s="19" t="s">
        <v>95</v>
      </c>
      <c r="D281" s="19" t="s">
        <v>1008</v>
      </c>
      <c r="E281" s="25" t="s">
        <v>659</v>
      </c>
      <c r="F281" s="25" t="s">
        <v>678</v>
      </c>
      <c r="G281" s="25" t="s">
        <v>96</v>
      </c>
      <c r="H281" s="26">
        <v>42265</v>
      </c>
      <c r="I281" s="25">
        <v>112954</v>
      </c>
      <c r="J281" s="25" t="s">
        <v>138</v>
      </c>
      <c r="K281" s="27">
        <v>3273265.9449999998</v>
      </c>
      <c r="L281" s="25">
        <v>211</v>
      </c>
      <c r="M281" s="27">
        <v>46.354087677725097</v>
      </c>
      <c r="N281" s="27">
        <v>47.555999999999997</v>
      </c>
      <c r="O281" s="27">
        <v>58.308056600776837</v>
      </c>
      <c r="P281" s="27">
        <v>1756.87</v>
      </c>
      <c r="Q281" s="27">
        <v>1650.7670000000001</v>
      </c>
      <c r="R281" s="27">
        <v>370699.58200000005</v>
      </c>
      <c r="S281" s="27">
        <f t="shared" si="4"/>
        <v>0.11325067630580199</v>
      </c>
    </row>
    <row r="282" spans="1:19" x14ac:dyDescent="0.25">
      <c r="A282" s="19">
        <v>275</v>
      </c>
      <c r="B282" s="19" t="s">
        <v>383</v>
      </c>
      <c r="C282" s="19" t="s">
        <v>95</v>
      </c>
      <c r="D282" s="19" t="s">
        <v>1008</v>
      </c>
      <c r="E282" s="25" t="s">
        <v>659</v>
      </c>
      <c r="F282" s="25" t="s">
        <v>679</v>
      </c>
      <c r="G282" s="25" t="s">
        <v>97</v>
      </c>
      <c r="H282" s="26">
        <v>42265</v>
      </c>
      <c r="I282" s="25">
        <v>112977</v>
      </c>
      <c r="J282" s="25" t="s">
        <v>201</v>
      </c>
      <c r="K282" s="27">
        <v>4970563.3739999998</v>
      </c>
      <c r="L282" s="25">
        <v>163</v>
      </c>
      <c r="M282" s="27">
        <v>70.880957055214708</v>
      </c>
      <c r="N282" s="27">
        <v>68.506</v>
      </c>
      <c r="O282" s="27">
        <v>121.38684986631604</v>
      </c>
      <c r="P282" s="27">
        <v>4710.7269999999999</v>
      </c>
      <c r="Q282" s="27">
        <v>3450.0219999999999</v>
      </c>
      <c r="R282" s="27">
        <v>767848.48999999987</v>
      </c>
      <c r="S282" s="27">
        <f t="shared" si="4"/>
        <v>0.15447916709330339</v>
      </c>
    </row>
    <row r="283" spans="1:19" x14ac:dyDescent="0.25">
      <c r="A283" s="19">
        <v>276</v>
      </c>
      <c r="B283" s="19" t="s">
        <v>383</v>
      </c>
      <c r="C283" s="19" t="s">
        <v>95</v>
      </c>
      <c r="D283" s="19" t="s">
        <v>1008</v>
      </c>
      <c r="E283" s="25" t="s">
        <v>659</v>
      </c>
      <c r="F283" s="25" t="s">
        <v>680</v>
      </c>
      <c r="G283" s="25" t="s">
        <v>97</v>
      </c>
      <c r="H283" s="26">
        <v>42276</v>
      </c>
      <c r="I283" s="25">
        <v>113119</v>
      </c>
      <c r="J283" s="25" t="s">
        <v>307</v>
      </c>
      <c r="K283" s="27">
        <v>5381856.2860000003</v>
      </c>
      <c r="L283" s="25">
        <v>213</v>
      </c>
      <c r="M283" s="27">
        <v>61.789507042253511</v>
      </c>
      <c r="N283" s="27">
        <v>68.045500000000004</v>
      </c>
      <c r="O283" s="27">
        <v>82.353028835443638</v>
      </c>
      <c r="P283" s="27">
        <v>3341.6190000000001</v>
      </c>
      <c r="Q283" s="27">
        <v>3451.1889999999999</v>
      </c>
      <c r="R283" s="27">
        <v>711764.80099999986</v>
      </c>
      <c r="S283" s="27">
        <f t="shared" si="4"/>
        <v>0.13225265840924386</v>
      </c>
    </row>
    <row r="284" spans="1:19" x14ac:dyDescent="0.25">
      <c r="A284" s="19">
        <v>277</v>
      </c>
      <c r="B284" s="19" t="s">
        <v>383</v>
      </c>
      <c r="C284" s="19" t="s">
        <v>95</v>
      </c>
      <c r="D284" s="19" t="s">
        <v>1008</v>
      </c>
      <c r="E284" s="25" t="s">
        <v>659</v>
      </c>
      <c r="F284" s="25" t="s">
        <v>681</v>
      </c>
      <c r="G284" s="25" t="s">
        <v>96</v>
      </c>
      <c r="H284" s="26">
        <v>42279</v>
      </c>
      <c r="I284" s="25">
        <v>113378</v>
      </c>
      <c r="J284" s="25" t="s">
        <v>192</v>
      </c>
      <c r="K284" s="27">
        <v>21895070.890000001</v>
      </c>
      <c r="L284" s="25">
        <v>357</v>
      </c>
      <c r="M284" s="27">
        <v>104.39621288515393</v>
      </c>
      <c r="N284" s="27">
        <v>103.5975</v>
      </c>
      <c r="O284" s="27">
        <v>121.70171705948978</v>
      </c>
      <c r="P284" s="27">
        <v>8419.3430000000008</v>
      </c>
      <c r="Q284" s="27">
        <v>7986.6459999999997</v>
      </c>
      <c r="R284" s="27">
        <v>3005705.3749999986</v>
      </c>
      <c r="S284" s="27">
        <f t="shared" si="4"/>
        <v>0.13727771835499175</v>
      </c>
    </row>
    <row r="285" spans="1:19" x14ac:dyDescent="0.25">
      <c r="A285" s="19">
        <v>278</v>
      </c>
      <c r="B285" s="19" t="s">
        <v>383</v>
      </c>
      <c r="C285" s="19" t="s">
        <v>95</v>
      </c>
      <c r="D285" s="19" t="s">
        <v>1008</v>
      </c>
      <c r="E285" s="25" t="s">
        <v>659</v>
      </c>
      <c r="F285" s="25" t="s">
        <v>682</v>
      </c>
      <c r="G285" s="25" t="s">
        <v>96</v>
      </c>
      <c r="H285" s="26">
        <v>42275</v>
      </c>
      <c r="I285" s="25">
        <v>113423</v>
      </c>
      <c r="J285" s="25" t="s">
        <v>217</v>
      </c>
      <c r="K285" s="27">
        <v>4821994.2120000003</v>
      </c>
      <c r="L285" s="25">
        <v>144</v>
      </c>
      <c r="M285" s="27">
        <v>56.067506944444453</v>
      </c>
      <c r="N285" s="27">
        <v>55.958500000000001</v>
      </c>
      <c r="O285" s="27">
        <v>75.06059455654291</v>
      </c>
      <c r="P285" s="27">
        <v>2578.5410000000002</v>
      </c>
      <c r="Q285" s="27">
        <v>2257.9290000000001</v>
      </c>
      <c r="R285" s="27">
        <v>371309.95100000006</v>
      </c>
      <c r="S285" s="27">
        <f t="shared" si="4"/>
        <v>7.7003400393131791E-2</v>
      </c>
    </row>
    <row r="286" spans="1:19" x14ac:dyDescent="0.25">
      <c r="A286" s="19">
        <v>279</v>
      </c>
      <c r="B286" s="19" t="s">
        <v>383</v>
      </c>
      <c r="C286" s="19" t="s">
        <v>95</v>
      </c>
      <c r="D286" s="19" t="s">
        <v>1008</v>
      </c>
      <c r="E286" s="25" t="s">
        <v>659</v>
      </c>
      <c r="F286" s="25" t="s">
        <v>683</v>
      </c>
      <c r="G286" s="25" t="s">
        <v>97</v>
      </c>
      <c r="H286" s="26">
        <v>42278</v>
      </c>
      <c r="I286" s="25">
        <v>113439</v>
      </c>
      <c r="J286" s="25" t="s">
        <v>167</v>
      </c>
      <c r="K286" s="27">
        <v>6112347.5460000001</v>
      </c>
      <c r="L286" s="25">
        <v>235</v>
      </c>
      <c r="M286" s="27">
        <v>61.831934042553186</v>
      </c>
      <c r="N286" s="27">
        <v>65.246499999999997</v>
      </c>
      <c r="O286" s="27">
        <v>77.092419122285108</v>
      </c>
      <c r="P286" s="27">
        <v>3123.2179999999998</v>
      </c>
      <c r="Q286" s="27">
        <v>3187.9389999999999</v>
      </c>
      <c r="R286" s="27">
        <v>733956.22200000018</v>
      </c>
      <c r="S286" s="27">
        <f t="shared" si="4"/>
        <v>0.12007763244423343</v>
      </c>
    </row>
    <row r="287" spans="1:19" x14ac:dyDescent="0.25">
      <c r="A287" s="19">
        <v>280</v>
      </c>
      <c r="B287" s="19" t="s">
        <v>383</v>
      </c>
      <c r="C287" s="19" t="s">
        <v>95</v>
      </c>
      <c r="D287" s="19" t="s">
        <v>1008</v>
      </c>
      <c r="E287" s="25" t="s">
        <v>659</v>
      </c>
      <c r="F287" s="25" t="s">
        <v>684</v>
      </c>
      <c r="G287" s="25" t="s">
        <v>96</v>
      </c>
      <c r="H287" s="26">
        <v>42278</v>
      </c>
      <c r="I287" s="25">
        <v>113439</v>
      </c>
      <c r="J287" s="25" t="s">
        <v>167</v>
      </c>
      <c r="K287" s="27">
        <v>4661087.307</v>
      </c>
      <c r="L287" s="25">
        <v>118</v>
      </c>
      <c r="M287" s="27">
        <v>66.370491525423731</v>
      </c>
      <c r="N287" s="27">
        <v>70.472749999999991</v>
      </c>
      <c r="O287" s="27">
        <v>79.824287960776275</v>
      </c>
      <c r="P287" s="27">
        <v>3522.933</v>
      </c>
      <c r="Q287" s="27">
        <v>3685.7335000000003</v>
      </c>
      <c r="R287" s="27">
        <v>415706.0849999999</v>
      </c>
      <c r="S287" s="27">
        <f t="shared" si="4"/>
        <v>8.918650469723971E-2</v>
      </c>
    </row>
    <row r="288" spans="1:19" x14ac:dyDescent="0.25">
      <c r="A288" s="19">
        <v>281</v>
      </c>
      <c r="B288" s="19" t="s">
        <v>383</v>
      </c>
      <c r="C288" s="19" t="s">
        <v>95</v>
      </c>
      <c r="D288" s="19" t="s">
        <v>1008</v>
      </c>
      <c r="E288" s="25" t="s">
        <v>659</v>
      </c>
      <c r="F288" s="25" t="s">
        <v>686</v>
      </c>
      <c r="G288" s="25" t="s">
        <v>96</v>
      </c>
      <c r="H288" s="26">
        <v>42275</v>
      </c>
      <c r="I288" s="25">
        <v>113441</v>
      </c>
      <c r="J288" s="25" t="s">
        <v>341</v>
      </c>
      <c r="K288" s="27">
        <v>4798712.2220000001</v>
      </c>
      <c r="L288" s="25">
        <v>159</v>
      </c>
      <c r="M288" s="27">
        <v>62.926106918239014</v>
      </c>
      <c r="N288" s="27">
        <v>66.723500000000001</v>
      </c>
      <c r="O288" s="27">
        <v>73.857202067701522</v>
      </c>
      <c r="P288" s="27">
        <v>3180.0749999999998</v>
      </c>
      <c r="Q288" s="27">
        <v>3350.6030000000001</v>
      </c>
      <c r="R288" s="27">
        <v>505631.86300000013</v>
      </c>
      <c r="S288" s="27">
        <f t="shared" si="4"/>
        <v>0.10536824039622522</v>
      </c>
    </row>
    <row r="289" spans="1:19" x14ac:dyDescent="0.25">
      <c r="A289" s="19">
        <v>282</v>
      </c>
      <c r="B289" s="19" t="s">
        <v>383</v>
      </c>
      <c r="C289" s="19" t="s">
        <v>95</v>
      </c>
      <c r="D289" s="19" t="s">
        <v>1008</v>
      </c>
      <c r="E289" s="25" t="s">
        <v>659</v>
      </c>
      <c r="F289" s="25" t="s">
        <v>685</v>
      </c>
      <c r="G289" s="25" t="s">
        <v>97</v>
      </c>
      <c r="H289" s="26">
        <v>42275</v>
      </c>
      <c r="I289" s="25">
        <v>113441</v>
      </c>
      <c r="J289" s="25" t="s">
        <v>341</v>
      </c>
      <c r="K289" s="27">
        <v>17622152.822999999</v>
      </c>
      <c r="L289" s="25">
        <v>131</v>
      </c>
      <c r="M289" s="27">
        <v>138.53647709923669</v>
      </c>
      <c r="N289" s="27">
        <v>145.65350000000001</v>
      </c>
      <c r="O289" s="27">
        <v>159.34266041915214</v>
      </c>
      <c r="P289" s="27">
        <v>15199.44</v>
      </c>
      <c r="Q289" s="27">
        <v>15887.754999999999</v>
      </c>
      <c r="R289" s="27">
        <v>1991126.6799999997</v>
      </c>
      <c r="S289" s="27">
        <f t="shared" si="4"/>
        <v>0.112989979147226</v>
      </c>
    </row>
    <row r="290" spans="1:19" x14ac:dyDescent="0.25">
      <c r="A290" s="19">
        <v>283</v>
      </c>
      <c r="B290" s="19" t="s">
        <v>383</v>
      </c>
      <c r="C290" s="19" t="s">
        <v>95</v>
      </c>
      <c r="D290" s="19" t="s">
        <v>1008</v>
      </c>
      <c r="E290" s="25" t="s">
        <v>659</v>
      </c>
      <c r="F290" s="25" t="s">
        <v>687</v>
      </c>
      <c r="G290" s="25" t="s">
        <v>97</v>
      </c>
      <c r="H290" s="26">
        <v>42279</v>
      </c>
      <c r="I290" s="25">
        <v>113454</v>
      </c>
      <c r="J290" s="25" t="s">
        <v>343</v>
      </c>
      <c r="K290" s="27">
        <v>5873723.7740000002</v>
      </c>
      <c r="L290" s="25">
        <v>142</v>
      </c>
      <c r="M290" s="27">
        <v>67.648338028169036</v>
      </c>
      <c r="N290" s="27">
        <v>77.917000000000002</v>
      </c>
      <c r="O290" s="27">
        <v>98.117002729361673</v>
      </c>
      <c r="P290" s="27">
        <v>4225.3389999999999</v>
      </c>
      <c r="Q290" s="27">
        <v>4526.3599999999997</v>
      </c>
      <c r="R290" s="27">
        <v>599998.13800000015</v>
      </c>
      <c r="S290" s="27">
        <f t="shared" si="4"/>
        <v>0.10214953257691278</v>
      </c>
    </row>
    <row r="291" spans="1:19" x14ac:dyDescent="0.25">
      <c r="A291" s="19">
        <v>284</v>
      </c>
      <c r="B291" s="19" t="s">
        <v>383</v>
      </c>
      <c r="C291" s="19" t="s">
        <v>95</v>
      </c>
      <c r="D291" s="19" t="s">
        <v>1008</v>
      </c>
      <c r="E291" s="25" t="s">
        <v>659</v>
      </c>
      <c r="F291" s="25" t="s">
        <v>688</v>
      </c>
      <c r="G291" s="25" t="s">
        <v>96</v>
      </c>
      <c r="H291" s="26">
        <v>42275</v>
      </c>
      <c r="I291" s="25">
        <v>113466</v>
      </c>
      <c r="J291" s="25" t="s">
        <v>155</v>
      </c>
      <c r="K291" s="27">
        <v>5322035.2869999995</v>
      </c>
      <c r="L291" s="25">
        <v>456</v>
      </c>
      <c r="M291" s="27">
        <v>38.580680921052682</v>
      </c>
      <c r="N291" s="27">
        <v>39.554750000000006</v>
      </c>
      <c r="O291" s="27">
        <v>47.954097827249825</v>
      </c>
      <c r="P291" s="27">
        <v>1178.3019999999999</v>
      </c>
      <c r="Q291" s="27">
        <v>1127.5645</v>
      </c>
      <c r="R291" s="27">
        <v>537305.6549999991</v>
      </c>
      <c r="S291" s="27">
        <f t="shared" si="4"/>
        <v>0.10095867953233267</v>
      </c>
    </row>
    <row r="292" spans="1:19" x14ac:dyDescent="0.25">
      <c r="A292" s="19">
        <v>285</v>
      </c>
      <c r="B292" s="19" t="s">
        <v>383</v>
      </c>
      <c r="C292" s="19" t="s">
        <v>95</v>
      </c>
      <c r="D292" s="19" t="s">
        <v>1008</v>
      </c>
      <c r="E292" s="25" t="s">
        <v>659</v>
      </c>
      <c r="F292" s="25" t="s">
        <v>689</v>
      </c>
      <c r="G292" s="25" t="s">
        <v>96</v>
      </c>
      <c r="H292" s="26">
        <v>42275</v>
      </c>
      <c r="I292" s="25">
        <v>113478</v>
      </c>
      <c r="J292" s="25" t="s">
        <v>184</v>
      </c>
      <c r="K292" s="27">
        <v>4727753.74</v>
      </c>
      <c r="L292" s="25">
        <v>89</v>
      </c>
      <c r="M292" s="27">
        <v>54.329438202247189</v>
      </c>
      <c r="N292" s="27">
        <v>58.377499999999998</v>
      </c>
      <c r="O292" s="27">
        <v>77.287779856129589</v>
      </c>
      <c r="P292" s="27">
        <v>2581.6030000000001</v>
      </c>
      <c r="Q292" s="27">
        <v>2518.145</v>
      </c>
      <c r="R292" s="27">
        <v>229762.65299999985</v>
      </c>
      <c r="S292" s="27">
        <f t="shared" si="4"/>
        <v>4.8598693086751139E-2</v>
      </c>
    </row>
    <row r="293" spans="1:19" x14ac:dyDescent="0.25">
      <c r="A293" s="19">
        <v>286</v>
      </c>
      <c r="B293" s="19" t="s">
        <v>383</v>
      </c>
      <c r="C293" s="19" t="s">
        <v>95</v>
      </c>
      <c r="D293" s="19" t="s">
        <v>1008</v>
      </c>
      <c r="E293" s="25" t="s">
        <v>659</v>
      </c>
      <c r="F293" s="25" t="s">
        <v>690</v>
      </c>
      <c r="G293" s="25" t="s">
        <v>96</v>
      </c>
      <c r="H293" s="26">
        <v>42278</v>
      </c>
      <c r="I293" s="25">
        <v>113490</v>
      </c>
      <c r="J293" s="25" t="s">
        <v>365</v>
      </c>
      <c r="K293" s="27">
        <v>5449230.7869999995</v>
      </c>
      <c r="L293" s="25">
        <v>202</v>
      </c>
      <c r="M293" s="27">
        <v>85.396495049504921</v>
      </c>
      <c r="N293" s="27">
        <v>87.894999999999996</v>
      </c>
      <c r="O293" s="27">
        <v>105.0900061854686</v>
      </c>
      <c r="P293" s="27">
        <v>5926.058</v>
      </c>
      <c r="Q293" s="27">
        <v>5780.0645000000004</v>
      </c>
      <c r="R293" s="27">
        <v>1197063.6389999993</v>
      </c>
      <c r="S293" s="27">
        <f t="shared" si="4"/>
        <v>0.21967570943329903</v>
      </c>
    </row>
    <row r="294" spans="1:19" x14ac:dyDescent="0.25">
      <c r="A294" s="19">
        <v>287</v>
      </c>
      <c r="B294" s="19" t="s">
        <v>383</v>
      </c>
      <c r="C294" s="19" t="s">
        <v>95</v>
      </c>
      <c r="D294" s="19" t="s">
        <v>1008</v>
      </c>
      <c r="E294" s="25" t="s">
        <v>659</v>
      </c>
      <c r="F294" s="25" t="s">
        <v>691</v>
      </c>
      <c r="G294" s="25" t="s">
        <v>96</v>
      </c>
      <c r="H294" s="26">
        <v>42276</v>
      </c>
      <c r="I294" s="25">
        <v>113491</v>
      </c>
      <c r="J294" s="25" t="s">
        <v>692</v>
      </c>
      <c r="K294" s="27">
        <v>3586198.2250000001</v>
      </c>
      <c r="L294" s="25">
        <v>182</v>
      </c>
      <c r="M294" s="27">
        <v>61.246219780219796</v>
      </c>
      <c r="N294" s="27">
        <v>61.875</v>
      </c>
      <c r="O294" s="27">
        <v>76.294533089299875</v>
      </c>
      <c r="P294" s="27">
        <v>2942.8589999999999</v>
      </c>
      <c r="Q294" s="27">
        <v>2808.1085000000003</v>
      </c>
      <c r="R294" s="27">
        <v>535600.2699999999</v>
      </c>
      <c r="S294" s="27">
        <f t="shared" si="4"/>
        <v>0.14935043642212495</v>
      </c>
    </row>
    <row r="295" spans="1:19" x14ac:dyDescent="0.25">
      <c r="A295" s="19">
        <v>288</v>
      </c>
      <c r="B295" s="19" t="s">
        <v>383</v>
      </c>
      <c r="C295" s="19" t="s">
        <v>95</v>
      </c>
      <c r="D295" s="19" t="s">
        <v>1008</v>
      </c>
      <c r="E295" s="25" t="s">
        <v>659</v>
      </c>
      <c r="F295" s="25" t="s">
        <v>693</v>
      </c>
      <c r="G295" s="25" t="s">
        <v>96</v>
      </c>
      <c r="H295" s="26">
        <v>42279</v>
      </c>
      <c r="I295" s="25">
        <v>113499</v>
      </c>
      <c r="J295" s="25" t="s">
        <v>364</v>
      </c>
      <c r="K295" s="27">
        <v>6173580.2470000004</v>
      </c>
      <c r="L295" s="25">
        <v>143</v>
      </c>
      <c r="M295" s="27">
        <v>94.21276923076924</v>
      </c>
      <c r="N295" s="27">
        <v>100.56950000000001</v>
      </c>
      <c r="O295" s="27">
        <v>123.20807267075773</v>
      </c>
      <c r="P295" s="27">
        <v>7425.7430000000004</v>
      </c>
      <c r="Q295" s="27">
        <v>7775.9110000000001</v>
      </c>
      <c r="R295" s="27">
        <v>1061881.2549999999</v>
      </c>
      <c r="S295" s="27">
        <f t="shared" si="4"/>
        <v>0.17200412281285438</v>
      </c>
    </row>
    <row r="296" spans="1:19" x14ac:dyDescent="0.25">
      <c r="A296" s="19">
        <v>289</v>
      </c>
      <c r="B296" s="19" t="s">
        <v>383</v>
      </c>
      <c r="C296" s="19" t="s">
        <v>95</v>
      </c>
      <c r="D296" s="19" t="s">
        <v>1008</v>
      </c>
      <c r="E296" s="25" t="s">
        <v>659</v>
      </c>
      <c r="F296" s="25" t="s">
        <v>694</v>
      </c>
      <c r="G296" s="25" t="s">
        <v>96</v>
      </c>
      <c r="H296" s="26">
        <v>42276</v>
      </c>
      <c r="I296" s="25">
        <v>113515</v>
      </c>
      <c r="J296" s="25" t="s">
        <v>341</v>
      </c>
      <c r="K296" s="27">
        <v>6528178.4869999997</v>
      </c>
      <c r="L296" s="25">
        <v>194</v>
      </c>
      <c r="M296" s="27">
        <v>68.16155670103096</v>
      </c>
      <c r="N296" s="27">
        <v>73.948999999999998</v>
      </c>
      <c r="O296" s="27">
        <v>84.721782998962055</v>
      </c>
      <c r="P296" s="27">
        <v>3894.5770000000002</v>
      </c>
      <c r="Q296" s="27">
        <v>4159.4904999999999</v>
      </c>
      <c r="R296" s="27">
        <v>755547.85099999933</v>
      </c>
      <c r="S296" s="27">
        <f t="shared" si="4"/>
        <v>0.11573639607197819</v>
      </c>
    </row>
    <row r="297" spans="1:19" x14ac:dyDescent="0.25">
      <c r="A297" s="19">
        <v>290</v>
      </c>
      <c r="B297" s="19" t="s">
        <v>383</v>
      </c>
      <c r="C297" s="19" t="s">
        <v>95</v>
      </c>
      <c r="D297" s="19" t="s">
        <v>1008</v>
      </c>
      <c r="E297" s="25" t="s">
        <v>659</v>
      </c>
      <c r="F297" s="25" t="s">
        <v>695</v>
      </c>
      <c r="G297" s="25" t="s">
        <v>97</v>
      </c>
      <c r="H297" s="26">
        <v>42276</v>
      </c>
      <c r="I297" s="25">
        <v>113518</v>
      </c>
      <c r="J297" s="25" t="s">
        <v>343</v>
      </c>
      <c r="K297" s="27">
        <v>6352380.4519999996</v>
      </c>
      <c r="L297" s="25">
        <v>148</v>
      </c>
      <c r="M297" s="27">
        <v>86.900040540540473</v>
      </c>
      <c r="N297" s="27">
        <v>93.897750000000002</v>
      </c>
      <c r="O297" s="27">
        <v>130.16278446023443</v>
      </c>
      <c r="P297" s="27">
        <v>7069.2340000000004</v>
      </c>
      <c r="Q297" s="27">
        <v>6573.8990000000003</v>
      </c>
      <c r="R297" s="27">
        <v>1046246.5809999999</v>
      </c>
      <c r="S297" s="27">
        <f t="shared" si="4"/>
        <v>0.16470149873825599</v>
      </c>
    </row>
    <row r="298" spans="1:19" x14ac:dyDescent="0.25">
      <c r="A298" s="19">
        <v>291</v>
      </c>
      <c r="B298" s="19" t="s">
        <v>383</v>
      </c>
      <c r="C298" s="19" t="s">
        <v>95</v>
      </c>
      <c r="D298" s="19" t="s">
        <v>1008</v>
      </c>
      <c r="E298" s="25" t="s">
        <v>659</v>
      </c>
      <c r="F298" s="25" t="s">
        <v>696</v>
      </c>
      <c r="G298" s="25" t="s">
        <v>96</v>
      </c>
      <c r="H298" s="26">
        <v>42279</v>
      </c>
      <c r="I298" s="25">
        <v>113533</v>
      </c>
      <c r="J298" s="25" t="s">
        <v>201</v>
      </c>
      <c r="K298" s="27">
        <v>6048957.5020000003</v>
      </c>
      <c r="L298" s="25">
        <v>133</v>
      </c>
      <c r="M298" s="27">
        <v>61.856285714285718</v>
      </c>
      <c r="N298" s="27">
        <v>62.802000000000007</v>
      </c>
      <c r="O298" s="27">
        <v>92.75069892199447</v>
      </c>
      <c r="P298" s="27">
        <v>3271.6089999999999</v>
      </c>
      <c r="Q298" s="27">
        <v>3063.549</v>
      </c>
      <c r="R298" s="27">
        <v>435124.04300000024</v>
      </c>
      <c r="S298" s="27">
        <f t="shared" si="4"/>
        <v>7.1933724589093695E-2</v>
      </c>
    </row>
    <row r="299" spans="1:19" x14ac:dyDescent="0.25">
      <c r="A299" s="19">
        <v>292</v>
      </c>
      <c r="B299" s="19" t="s">
        <v>383</v>
      </c>
      <c r="C299" s="19" t="s">
        <v>95</v>
      </c>
      <c r="D299" s="19" t="s">
        <v>1008</v>
      </c>
      <c r="E299" s="25" t="s">
        <v>659</v>
      </c>
      <c r="F299" s="25" t="s">
        <v>697</v>
      </c>
      <c r="G299" s="25" t="s">
        <v>96</v>
      </c>
      <c r="H299" s="26">
        <v>42276</v>
      </c>
      <c r="I299" s="25">
        <v>122674</v>
      </c>
      <c r="J299" s="25" t="s">
        <v>217</v>
      </c>
      <c r="K299" s="27">
        <v>4997688.3540000003</v>
      </c>
      <c r="L299" s="25">
        <v>179</v>
      </c>
      <c r="M299" s="27">
        <v>56.995416424012298</v>
      </c>
      <c r="N299" s="27">
        <v>54.978319999999997</v>
      </c>
      <c r="O299" s="27">
        <v>84.564100230187094</v>
      </c>
      <c r="P299" s="27">
        <v>2705.3110000000001</v>
      </c>
      <c r="Q299" s="27">
        <v>2301.201</v>
      </c>
      <c r="R299" s="27">
        <v>516000.23300000001</v>
      </c>
      <c r="S299" s="27">
        <f t="shared" si="4"/>
        <v>0.1032477810640211</v>
      </c>
    </row>
    <row r="300" spans="1:19" x14ac:dyDescent="0.25">
      <c r="A300" s="19">
        <v>293</v>
      </c>
      <c r="B300" s="19" t="s">
        <v>383</v>
      </c>
      <c r="C300" s="19" t="s">
        <v>95</v>
      </c>
      <c r="D300" s="19" t="s">
        <v>1008</v>
      </c>
      <c r="E300" s="25" t="s">
        <v>659</v>
      </c>
      <c r="F300" s="25" t="s">
        <v>698</v>
      </c>
      <c r="G300" s="25" t="s">
        <v>97</v>
      </c>
      <c r="H300" s="26">
        <v>42265</v>
      </c>
      <c r="I300" s="25">
        <v>122897</v>
      </c>
      <c r="J300" s="25" t="s">
        <v>256</v>
      </c>
      <c r="K300" s="27">
        <v>5404198.4639999997</v>
      </c>
      <c r="L300" s="25">
        <v>402</v>
      </c>
      <c r="M300" s="27">
        <v>47.569568407960183</v>
      </c>
      <c r="N300" s="27">
        <v>50.092999999999996</v>
      </c>
      <c r="O300" s="27">
        <v>59.568410436048026</v>
      </c>
      <c r="P300" s="27">
        <v>1815.4079999999999</v>
      </c>
      <c r="Q300" s="27">
        <v>1808.4434999999999</v>
      </c>
      <c r="R300" s="27">
        <v>729793.91999999934</v>
      </c>
      <c r="S300" s="27">
        <f t="shared" si="4"/>
        <v>0.13504202794577447</v>
      </c>
    </row>
    <row r="301" spans="1:19" x14ac:dyDescent="0.25">
      <c r="A301" s="19">
        <v>294</v>
      </c>
      <c r="B301" s="19" t="s">
        <v>383</v>
      </c>
      <c r="C301" s="19" t="s">
        <v>95</v>
      </c>
      <c r="D301" s="19" t="s">
        <v>1008</v>
      </c>
      <c r="E301" s="25" t="s">
        <v>659</v>
      </c>
      <c r="F301" s="25" t="s">
        <v>699</v>
      </c>
      <c r="G301" s="25" t="s">
        <v>96</v>
      </c>
      <c r="H301" s="26">
        <v>42265</v>
      </c>
      <c r="I301" s="25">
        <v>122897</v>
      </c>
      <c r="J301" s="25" t="s">
        <v>256</v>
      </c>
      <c r="K301" s="27">
        <v>4332282.6670000004</v>
      </c>
      <c r="L301" s="25">
        <v>291</v>
      </c>
      <c r="M301" s="27">
        <v>49.039761168384807</v>
      </c>
      <c r="N301" s="27">
        <v>48.561</v>
      </c>
      <c r="O301" s="27">
        <v>62.2365823059123</v>
      </c>
      <c r="P301" s="27">
        <v>1926.0940000000001</v>
      </c>
      <c r="Q301" s="27">
        <v>1784.6389999999999</v>
      </c>
      <c r="R301" s="27">
        <v>560493.36000000022</v>
      </c>
      <c r="S301" s="27">
        <f t="shared" si="4"/>
        <v>0.12937599023014076</v>
      </c>
    </row>
    <row r="302" spans="1:19" x14ac:dyDescent="0.25">
      <c r="A302" s="19">
        <v>295</v>
      </c>
      <c r="B302" s="19" t="s">
        <v>383</v>
      </c>
      <c r="C302" s="19" t="s">
        <v>95</v>
      </c>
      <c r="D302" s="19" t="s">
        <v>1008</v>
      </c>
      <c r="E302" s="25" t="s">
        <v>659</v>
      </c>
      <c r="F302" s="25" t="s">
        <v>700</v>
      </c>
      <c r="G302" s="25" t="s">
        <v>96</v>
      </c>
      <c r="H302" s="26">
        <v>42277</v>
      </c>
      <c r="I302" s="25">
        <v>122979</v>
      </c>
      <c r="J302" s="25" t="s">
        <v>136</v>
      </c>
      <c r="K302" s="27">
        <v>6313113.4919999996</v>
      </c>
      <c r="L302" s="25">
        <v>203</v>
      </c>
      <c r="M302" s="27">
        <v>54.565645320197021</v>
      </c>
      <c r="N302" s="27">
        <v>56.191500000000005</v>
      </c>
      <c r="O302" s="27">
        <v>70.305520499883542</v>
      </c>
      <c r="P302" s="27">
        <v>2411.1390000000001</v>
      </c>
      <c r="Q302" s="27">
        <v>2323.7420000000002</v>
      </c>
      <c r="R302" s="27">
        <v>489461.12799999991</v>
      </c>
      <c r="S302" s="27">
        <f t="shared" si="4"/>
        <v>7.7530861534525999E-2</v>
      </c>
    </row>
    <row r="303" spans="1:19" x14ac:dyDescent="0.25">
      <c r="A303" s="19">
        <v>296</v>
      </c>
      <c r="B303" s="19" t="s">
        <v>383</v>
      </c>
      <c r="C303" s="19" t="s">
        <v>95</v>
      </c>
      <c r="D303" s="19" t="s">
        <v>1008</v>
      </c>
      <c r="E303" s="25" t="s">
        <v>659</v>
      </c>
      <c r="F303" s="25" t="s">
        <v>701</v>
      </c>
      <c r="G303" s="25" t="s">
        <v>96</v>
      </c>
      <c r="H303" s="26">
        <v>42265</v>
      </c>
      <c r="I303" s="25">
        <v>123064</v>
      </c>
      <c r="J303" s="25" t="s">
        <v>157</v>
      </c>
      <c r="K303" s="27">
        <v>2985655.9079999998</v>
      </c>
      <c r="L303" s="25">
        <v>207</v>
      </c>
      <c r="M303" s="27">
        <v>56.128632850241544</v>
      </c>
      <c r="N303" s="27">
        <v>55.222499999999997</v>
      </c>
      <c r="O303" s="27">
        <v>78.611886259113234</v>
      </c>
      <c r="P303" s="27">
        <v>2516.6080000000002</v>
      </c>
      <c r="Q303" s="27">
        <v>2081.029</v>
      </c>
      <c r="R303" s="27">
        <v>520937.94799999968</v>
      </c>
      <c r="S303" s="27">
        <f t="shared" si="4"/>
        <v>0.17448023618668107</v>
      </c>
    </row>
    <row r="304" spans="1:19" x14ac:dyDescent="0.25">
      <c r="A304" s="19">
        <v>297</v>
      </c>
      <c r="B304" s="19" t="s">
        <v>383</v>
      </c>
      <c r="C304" s="19" t="s">
        <v>95</v>
      </c>
      <c r="D304" s="19" t="s">
        <v>1008</v>
      </c>
      <c r="E304" s="25" t="s">
        <v>659</v>
      </c>
      <c r="F304" s="25" t="s">
        <v>702</v>
      </c>
      <c r="G304" s="25" t="s">
        <v>97</v>
      </c>
      <c r="H304" s="26">
        <v>42275</v>
      </c>
      <c r="I304" s="25">
        <v>123290</v>
      </c>
      <c r="J304" s="25" t="s">
        <v>173</v>
      </c>
      <c r="K304" s="27">
        <v>6492983.7340000002</v>
      </c>
      <c r="L304" s="25">
        <v>142</v>
      </c>
      <c r="M304" s="27">
        <v>75.91901408450704</v>
      </c>
      <c r="N304" s="27">
        <v>81.217249999999993</v>
      </c>
      <c r="O304" s="27">
        <v>95.366429393077979</v>
      </c>
      <c r="P304" s="27">
        <v>4851.598</v>
      </c>
      <c r="Q304" s="27">
        <v>5047.0254999999997</v>
      </c>
      <c r="R304" s="27">
        <v>688926.92700000026</v>
      </c>
      <c r="S304" s="27">
        <f t="shared" si="4"/>
        <v>0.10610328859942901</v>
      </c>
    </row>
    <row r="305" spans="1:19" x14ac:dyDescent="0.25">
      <c r="A305" s="19">
        <v>298</v>
      </c>
      <c r="B305" s="19" t="s">
        <v>383</v>
      </c>
      <c r="C305" s="19" t="s">
        <v>95</v>
      </c>
      <c r="D305" s="19" t="s">
        <v>1008</v>
      </c>
      <c r="E305" s="25" t="s">
        <v>659</v>
      </c>
      <c r="F305" s="25" t="s">
        <v>703</v>
      </c>
      <c r="G305" s="25" t="s">
        <v>96</v>
      </c>
      <c r="H305" s="26">
        <v>42275</v>
      </c>
      <c r="I305" s="25">
        <v>123290</v>
      </c>
      <c r="J305" s="25" t="s">
        <v>173</v>
      </c>
      <c r="K305" s="27">
        <v>6615963.5</v>
      </c>
      <c r="L305" s="25">
        <v>136</v>
      </c>
      <c r="M305" s="27">
        <v>72.688911764705921</v>
      </c>
      <c r="N305" s="27">
        <v>75.334249999999997</v>
      </c>
      <c r="O305" s="27">
        <v>100.02926523392955</v>
      </c>
      <c r="P305" s="27">
        <v>4594.1530000000002</v>
      </c>
      <c r="Q305" s="27">
        <v>4386.4500000000007</v>
      </c>
      <c r="R305" s="27">
        <v>624804.777</v>
      </c>
      <c r="S305" s="27">
        <f t="shared" si="4"/>
        <v>9.4438969773639164E-2</v>
      </c>
    </row>
    <row r="306" spans="1:19" x14ac:dyDescent="0.25">
      <c r="A306" s="19">
        <v>299</v>
      </c>
      <c r="B306" s="19" t="s">
        <v>383</v>
      </c>
      <c r="C306" s="19" t="s">
        <v>95</v>
      </c>
      <c r="D306" s="19" t="s">
        <v>1008</v>
      </c>
      <c r="E306" s="25" t="s">
        <v>659</v>
      </c>
      <c r="F306" s="25" t="s">
        <v>704</v>
      </c>
      <c r="G306" s="25" t="s">
        <v>97</v>
      </c>
      <c r="H306" s="26">
        <v>42279</v>
      </c>
      <c r="I306" s="25">
        <v>123508</v>
      </c>
      <c r="J306" s="25" t="s">
        <v>705</v>
      </c>
      <c r="K306" s="27">
        <v>3671572.2650000001</v>
      </c>
      <c r="L306" s="25">
        <v>219</v>
      </c>
      <c r="M306" s="27">
        <v>57.75464611872151</v>
      </c>
      <c r="N306" s="27">
        <v>61.899500000000003</v>
      </c>
      <c r="O306" s="27">
        <v>72.967166331603394</v>
      </c>
      <c r="P306" s="27">
        <v>2761.9250000000002</v>
      </c>
      <c r="Q306" s="27">
        <v>2827.6039999999998</v>
      </c>
      <c r="R306" s="27">
        <v>604861.49899999972</v>
      </c>
      <c r="S306" s="27">
        <f t="shared" si="4"/>
        <v>0.16474182049090069</v>
      </c>
    </row>
    <row r="307" spans="1:19" x14ac:dyDescent="0.25">
      <c r="A307" s="19">
        <v>300</v>
      </c>
      <c r="B307" s="19" t="s">
        <v>383</v>
      </c>
      <c r="C307" s="19" t="s">
        <v>95</v>
      </c>
      <c r="D307" s="19" t="s">
        <v>1008</v>
      </c>
      <c r="E307" s="25" t="s">
        <v>659</v>
      </c>
      <c r="F307" s="25" t="s">
        <v>706</v>
      </c>
      <c r="G307" s="25" t="s">
        <v>97</v>
      </c>
      <c r="H307" s="26">
        <v>42276</v>
      </c>
      <c r="I307" s="25">
        <v>123617</v>
      </c>
      <c r="J307" s="25" t="s">
        <v>202</v>
      </c>
      <c r="K307" s="27">
        <v>6047809.0499999998</v>
      </c>
      <c r="L307" s="25">
        <v>92</v>
      </c>
      <c r="M307" s="27">
        <v>65.77662500000001</v>
      </c>
      <c r="N307" s="27">
        <v>74.13900000000001</v>
      </c>
      <c r="O307" s="27">
        <v>88.14805973144469</v>
      </c>
      <c r="P307" s="27">
        <v>3747.5149999999999</v>
      </c>
      <c r="Q307" s="27">
        <v>4020.6305000000002</v>
      </c>
      <c r="R307" s="27">
        <v>344771.40700000006</v>
      </c>
      <c r="S307" s="27">
        <f t="shared" si="4"/>
        <v>5.700765420164846E-2</v>
      </c>
    </row>
    <row r="308" spans="1:19" x14ac:dyDescent="0.25">
      <c r="A308" s="19">
        <v>301</v>
      </c>
      <c r="B308" s="19" t="s">
        <v>383</v>
      </c>
      <c r="C308" s="19" t="s">
        <v>95</v>
      </c>
      <c r="D308" s="19" t="s">
        <v>1008</v>
      </c>
      <c r="E308" s="25" t="s">
        <v>659</v>
      </c>
      <c r="F308" s="25" t="s">
        <v>707</v>
      </c>
      <c r="G308" s="25" t="s">
        <v>96</v>
      </c>
      <c r="H308" s="26">
        <v>42279</v>
      </c>
      <c r="I308" s="25">
        <v>123625</v>
      </c>
      <c r="J308" s="25" t="s">
        <v>338</v>
      </c>
      <c r="K308" s="27">
        <v>4689884.4780000001</v>
      </c>
      <c r="L308" s="25">
        <v>123</v>
      </c>
      <c r="M308" s="27">
        <v>60.038536585365854</v>
      </c>
      <c r="N308" s="27">
        <v>62.652500000000003</v>
      </c>
      <c r="O308" s="27">
        <v>75.779635652062325</v>
      </c>
      <c r="P308" s="27">
        <v>3005.2570000000001</v>
      </c>
      <c r="Q308" s="27">
        <v>3031.3429999999998</v>
      </c>
      <c r="R308" s="27">
        <v>369646.66400000005</v>
      </c>
      <c r="S308" s="27">
        <f t="shared" si="4"/>
        <v>7.8817861236026812E-2</v>
      </c>
    </row>
    <row r="309" spans="1:19" x14ac:dyDescent="0.25">
      <c r="A309" s="19">
        <v>302</v>
      </c>
      <c r="B309" s="19" t="s">
        <v>383</v>
      </c>
      <c r="C309" s="19" t="s">
        <v>95</v>
      </c>
      <c r="D309" s="19" t="s">
        <v>1008</v>
      </c>
      <c r="E309" s="25" t="s">
        <v>659</v>
      </c>
      <c r="F309" s="25" t="s">
        <v>708</v>
      </c>
      <c r="G309" s="25" t="s">
        <v>97</v>
      </c>
      <c r="H309" s="26">
        <v>42276</v>
      </c>
      <c r="I309" s="25">
        <v>123633</v>
      </c>
      <c r="J309" s="25" t="s">
        <v>242</v>
      </c>
      <c r="K309" s="27">
        <v>6251528.1569999997</v>
      </c>
      <c r="L309" s="25">
        <v>115</v>
      </c>
      <c r="M309" s="27">
        <v>51.131195652173901</v>
      </c>
      <c r="N309" s="27">
        <v>53.834000000000003</v>
      </c>
      <c r="O309" s="27">
        <v>67.596175416177346</v>
      </c>
      <c r="P309" s="27">
        <v>2143.5839999999998</v>
      </c>
      <c r="Q309" s="27">
        <v>2056.5239999999999</v>
      </c>
      <c r="R309" s="27">
        <v>246512.17200000002</v>
      </c>
      <c r="S309" s="27">
        <f t="shared" si="4"/>
        <v>3.9432306119260442E-2</v>
      </c>
    </row>
    <row r="310" spans="1:19" x14ac:dyDescent="0.25">
      <c r="A310" s="19">
        <v>303</v>
      </c>
      <c r="B310" s="19" t="s">
        <v>383</v>
      </c>
      <c r="C310" s="19" t="s">
        <v>95</v>
      </c>
      <c r="D310" s="19" t="s">
        <v>1008</v>
      </c>
      <c r="E310" s="25" t="s">
        <v>659</v>
      </c>
      <c r="F310" s="25" t="s">
        <v>709</v>
      </c>
      <c r="G310" s="25" t="s">
        <v>97</v>
      </c>
      <c r="H310" s="26">
        <v>42279</v>
      </c>
      <c r="I310" s="25">
        <v>123652</v>
      </c>
      <c r="J310" s="25" t="s">
        <v>201</v>
      </c>
      <c r="K310" s="27">
        <v>4511748.932</v>
      </c>
      <c r="L310" s="25">
        <v>75</v>
      </c>
      <c r="M310" s="27">
        <v>72.283553333333316</v>
      </c>
      <c r="N310" s="27">
        <v>78.036000000000001</v>
      </c>
      <c r="O310" s="27">
        <v>118.29877349010916</v>
      </c>
      <c r="P310" s="27">
        <v>4721.6099999999997</v>
      </c>
      <c r="Q310" s="27">
        <v>4425.3069999999998</v>
      </c>
      <c r="R310" s="27">
        <v>354120.74800000002</v>
      </c>
      <c r="S310" s="27">
        <f t="shared" si="4"/>
        <v>7.8488575791167275E-2</v>
      </c>
    </row>
    <row r="311" spans="1:19" x14ac:dyDescent="0.25">
      <c r="A311" s="19">
        <v>304</v>
      </c>
      <c r="B311" s="19" t="s">
        <v>383</v>
      </c>
      <c r="C311" s="19" t="s">
        <v>95</v>
      </c>
      <c r="D311" s="19" t="s">
        <v>1008</v>
      </c>
      <c r="E311" s="25" t="s">
        <v>659</v>
      </c>
      <c r="F311" s="25" t="s">
        <v>710</v>
      </c>
      <c r="G311" s="25" t="s">
        <v>96</v>
      </c>
      <c r="H311" s="26">
        <v>42279</v>
      </c>
      <c r="I311" s="25">
        <v>123655</v>
      </c>
      <c r="J311" s="25" t="s">
        <v>358</v>
      </c>
      <c r="K311" s="27">
        <v>5544844.4539999999</v>
      </c>
      <c r="L311" s="25">
        <v>123</v>
      </c>
      <c r="M311" s="27">
        <v>73.394345528455275</v>
      </c>
      <c r="N311" s="27">
        <v>70.790500000000009</v>
      </c>
      <c r="O311" s="27">
        <v>115.52040032193875</v>
      </c>
      <c r="P311" s="27">
        <v>4763.5870000000004</v>
      </c>
      <c r="Q311" s="27">
        <v>3597.75</v>
      </c>
      <c r="R311" s="27">
        <v>585921.26199999964</v>
      </c>
      <c r="S311" s="27">
        <f t="shared" si="4"/>
        <v>0.10566955788585222</v>
      </c>
    </row>
    <row r="312" spans="1:19" x14ac:dyDescent="0.25">
      <c r="A312" s="19">
        <v>305</v>
      </c>
      <c r="B312" s="19" t="s">
        <v>383</v>
      </c>
      <c r="C312" s="19" t="s">
        <v>95</v>
      </c>
      <c r="D312" s="19" t="s">
        <v>1008</v>
      </c>
      <c r="E312" s="25" t="s">
        <v>659</v>
      </c>
      <c r="F312" s="25" t="s">
        <v>711</v>
      </c>
      <c r="G312" s="25" t="s">
        <v>96</v>
      </c>
      <c r="H312" s="26">
        <v>42276</v>
      </c>
      <c r="I312" s="25">
        <v>123700</v>
      </c>
      <c r="J312" s="25" t="s">
        <v>197</v>
      </c>
      <c r="K312" s="27">
        <v>4581031.2960000001</v>
      </c>
      <c r="L312" s="25">
        <v>147</v>
      </c>
      <c r="M312" s="27">
        <v>43.924948979591832</v>
      </c>
      <c r="N312" s="27">
        <v>42.744500000000002</v>
      </c>
      <c r="O312" s="27">
        <v>63.593174557259964</v>
      </c>
      <c r="P312" s="27">
        <v>1659.423</v>
      </c>
      <c r="Q312" s="27">
        <v>1343.5550000000001</v>
      </c>
      <c r="R312" s="27">
        <v>243935.21500000011</v>
      </c>
      <c r="S312" s="27">
        <f t="shared" si="4"/>
        <v>5.3248973700091504E-2</v>
      </c>
    </row>
    <row r="313" spans="1:19" x14ac:dyDescent="0.25">
      <c r="A313" s="19">
        <v>306</v>
      </c>
      <c r="B313" s="19" t="s">
        <v>383</v>
      </c>
      <c r="C313" s="19" t="s">
        <v>95</v>
      </c>
      <c r="D313" s="19" t="s">
        <v>1008</v>
      </c>
      <c r="E313" s="25" t="s">
        <v>659</v>
      </c>
      <c r="F313" s="25" t="s">
        <v>712</v>
      </c>
      <c r="G313" s="25" t="s">
        <v>97</v>
      </c>
      <c r="H313" s="26">
        <v>42277</v>
      </c>
      <c r="I313" s="25">
        <v>132819</v>
      </c>
      <c r="J313" s="25" t="s">
        <v>713</v>
      </c>
      <c r="K313" s="27">
        <v>4037094.6809999999</v>
      </c>
      <c r="L313" s="25">
        <v>243</v>
      </c>
      <c r="M313" s="27">
        <v>55.390903292181115</v>
      </c>
      <c r="N313" s="27">
        <v>54.248999999999995</v>
      </c>
      <c r="O313" s="27">
        <v>95.484889257704324</v>
      </c>
      <c r="P313" s="27">
        <v>2985.7289999999998</v>
      </c>
      <c r="Q313" s="27">
        <v>2143.8069999999998</v>
      </c>
      <c r="R313" s="27">
        <v>725532.21799999929</v>
      </c>
      <c r="S313" s="27">
        <f t="shared" si="4"/>
        <v>0.17971642364857365</v>
      </c>
    </row>
    <row r="314" spans="1:19" x14ac:dyDescent="0.25">
      <c r="A314" s="19">
        <v>307</v>
      </c>
      <c r="B314" s="19" t="s">
        <v>383</v>
      </c>
      <c r="C314" s="19" t="s">
        <v>95</v>
      </c>
      <c r="D314" s="19" t="s">
        <v>1008</v>
      </c>
      <c r="E314" s="25" t="s">
        <v>659</v>
      </c>
      <c r="F314" s="25" t="s">
        <v>714</v>
      </c>
      <c r="G314" s="25" t="s">
        <v>97</v>
      </c>
      <c r="H314" s="26">
        <v>42277</v>
      </c>
      <c r="I314" s="25">
        <v>132971</v>
      </c>
      <c r="J314" s="25" t="s">
        <v>315</v>
      </c>
      <c r="K314" s="27">
        <v>5487138.3229999999</v>
      </c>
      <c r="L314" s="25">
        <v>162</v>
      </c>
      <c r="M314" s="27">
        <v>77.427808641975318</v>
      </c>
      <c r="N314" s="27">
        <v>79.376000000000005</v>
      </c>
      <c r="O314" s="27">
        <v>102.8666072947979</v>
      </c>
      <c r="P314" s="27">
        <v>5106.87</v>
      </c>
      <c r="Q314" s="27">
        <v>4803.8459999999995</v>
      </c>
      <c r="R314" s="27">
        <v>827312.89199999906</v>
      </c>
      <c r="S314" s="27">
        <f t="shared" si="4"/>
        <v>0.15077310672709263</v>
      </c>
    </row>
    <row r="315" spans="1:19" x14ac:dyDescent="0.25">
      <c r="A315" s="19">
        <v>308</v>
      </c>
      <c r="B315" s="19" t="s">
        <v>383</v>
      </c>
      <c r="C315" s="19" t="s">
        <v>95</v>
      </c>
      <c r="D315" s="19" t="s">
        <v>1008</v>
      </c>
      <c r="E315" s="25" t="s">
        <v>659</v>
      </c>
      <c r="F315" s="25" t="s">
        <v>715</v>
      </c>
      <c r="G315" s="25" t="s">
        <v>96</v>
      </c>
      <c r="H315" s="26">
        <v>42277</v>
      </c>
      <c r="I315" s="25">
        <v>133265</v>
      </c>
      <c r="J315" s="25" t="s">
        <v>716</v>
      </c>
      <c r="K315" s="27">
        <v>4412765.2920000004</v>
      </c>
      <c r="L315" s="25">
        <v>210</v>
      </c>
      <c r="M315" s="27">
        <v>57.109702380952399</v>
      </c>
      <c r="N315" s="27">
        <v>58.013999999999996</v>
      </c>
      <c r="O315" s="27">
        <v>79.662616317763096</v>
      </c>
      <c r="P315" s="27">
        <v>2783.8040000000001</v>
      </c>
      <c r="Q315" s="27">
        <v>2471.1194999999998</v>
      </c>
      <c r="R315" s="27">
        <v>584598.93800000031</v>
      </c>
      <c r="S315" s="27">
        <f t="shared" si="4"/>
        <v>0.1324790464291932</v>
      </c>
    </row>
    <row r="316" spans="1:19" x14ac:dyDescent="0.25">
      <c r="A316" s="19">
        <v>309</v>
      </c>
      <c r="B316" s="19" t="s">
        <v>382</v>
      </c>
      <c r="C316" s="19" t="s">
        <v>95</v>
      </c>
      <c r="D316" s="19" t="s">
        <v>1009</v>
      </c>
      <c r="E316" s="25" t="s">
        <v>718</v>
      </c>
      <c r="F316" s="25" t="s">
        <v>719</v>
      </c>
      <c r="G316" s="25" t="s">
        <v>96</v>
      </c>
      <c r="H316" s="26">
        <v>42261</v>
      </c>
      <c r="I316" s="25">
        <v>10227</v>
      </c>
      <c r="J316" s="25" t="s">
        <v>318</v>
      </c>
      <c r="K316" s="27">
        <v>9368561.6099999994</v>
      </c>
      <c r="L316" s="25">
        <v>126</v>
      </c>
      <c r="M316" s="27">
        <v>82.666718253968241</v>
      </c>
      <c r="N316" s="27">
        <v>82.509999999999991</v>
      </c>
      <c r="O316" s="27">
        <v>134.0701464316931</v>
      </c>
      <c r="P316" s="27">
        <v>6295.4340000000002</v>
      </c>
      <c r="Q316" s="27">
        <v>5122.2729999999992</v>
      </c>
      <c r="R316" s="27">
        <v>793224.62599999993</v>
      </c>
      <c r="S316" s="27">
        <f t="shared" si="4"/>
        <v>8.4668774036060379E-2</v>
      </c>
    </row>
    <row r="317" spans="1:19" x14ac:dyDescent="0.25">
      <c r="A317" s="19">
        <v>310</v>
      </c>
      <c r="B317" s="19" t="s">
        <v>382</v>
      </c>
      <c r="C317" s="19" t="s">
        <v>95</v>
      </c>
      <c r="D317" s="19" t="s">
        <v>1009</v>
      </c>
      <c r="E317" s="25" t="s">
        <v>718</v>
      </c>
      <c r="F317" s="25" t="s">
        <v>717</v>
      </c>
      <c r="G317" s="25" t="s">
        <v>97</v>
      </c>
      <c r="H317" s="26">
        <v>42262</v>
      </c>
      <c r="I317" s="25">
        <v>10227</v>
      </c>
      <c r="J317" s="25" t="s">
        <v>318</v>
      </c>
      <c r="K317" s="27">
        <v>4081923.4989999998</v>
      </c>
      <c r="L317" s="25">
        <v>126</v>
      </c>
      <c r="M317" s="27">
        <v>64.304797619047605</v>
      </c>
      <c r="N317" s="27">
        <v>66.240250000000003</v>
      </c>
      <c r="O317" s="27">
        <v>89.5869882830617</v>
      </c>
      <c r="P317" s="27">
        <v>3625.8609999999999</v>
      </c>
      <c r="Q317" s="27">
        <v>3315.9465</v>
      </c>
      <c r="R317" s="27">
        <v>456858.5</v>
      </c>
      <c r="S317" s="27">
        <f t="shared" si="4"/>
        <v>0.11192235722005138</v>
      </c>
    </row>
    <row r="318" spans="1:19" x14ac:dyDescent="0.25">
      <c r="A318" s="19">
        <v>311</v>
      </c>
      <c r="B318" s="19" t="s">
        <v>382</v>
      </c>
      <c r="C318" s="19" t="s">
        <v>95</v>
      </c>
      <c r="D318" s="19" t="s">
        <v>1009</v>
      </c>
      <c r="E318" s="25" t="s">
        <v>718</v>
      </c>
      <c r="F318" s="25" t="s">
        <v>720</v>
      </c>
      <c r="G318" s="25" t="s">
        <v>96</v>
      </c>
      <c r="H318" s="26">
        <v>42251</v>
      </c>
      <c r="I318" s="25">
        <v>10304</v>
      </c>
      <c r="J318" s="25" t="s">
        <v>286</v>
      </c>
      <c r="K318" s="27">
        <v>4762201.6849999996</v>
      </c>
      <c r="L318" s="25">
        <v>280</v>
      </c>
      <c r="M318" s="27">
        <v>51.379349999999995</v>
      </c>
      <c r="N318" s="27">
        <v>49.714500000000001</v>
      </c>
      <c r="O318" s="27">
        <v>76.663308744750879</v>
      </c>
      <c r="P318" s="27">
        <v>2339.9899999999998</v>
      </c>
      <c r="Q318" s="27">
        <v>1795.9580000000001</v>
      </c>
      <c r="R318" s="27">
        <v>655197.326</v>
      </c>
      <c r="S318" s="27">
        <f t="shared" si="4"/>
        <v>0.13758285963900752</v>
      </c>
    </row>
    <row r="319" spans="1:19" x14ac:dyDescent="0.25">
      <c r="A319" s="19">
        <v>312</v>
      </c>
      <c r="B319" s="19" t="s">
        <v>382</v>
      </c>
      <c r="C319" s="19" t="s">
        <v>95</v>
      </c>
      <c r="D319" s="19" t="s">
        <v>1009</v>
      </c>
      <c r="E319" s="25" t="s">
        <v>718</v>
      </c>
      <c r="F319" s="25" t="s">
        <v>721</v>
      </c>
      <c r="G319" s="25" t="s">
        <v>97</v>
      </c>
      <c r="H319" s="26">
        <v>42264</v>
      </c>
      <c r="I319" s="25">
        <v>10384</v>
      </c>
      <c r="J319" s="25" t="s">
        <v>176</v>
      </c>
      <c r="K319" s="27">
        <v>4194315.3870000001</v>
      </c>
      <c r="L319" s="25">
        <v>175</v>
      </c>
      <c r="M319" s="27">
        <v>47.745728571428572</v>
      </c>
      <c r="N319" s="27">
        <v>47.720500000000001</v>
      </c>
      <c r="O319" s="27">
        <v>64.383850596809907</v>
      </c>
      <c r="P319" s="27">
        <v>1927.518</v>
      </c>
      <c r="Q319" s="27">
        <v>1738.43</v>
      </c>
      <c r="R319" s="27">
        <v>337315.69100000005</v>
      </c>
      <c r="S319" s="27">
        <f t="shared" si="4"/>
        <v>8.04221094211197E-2</v>
      </c>
    </row>
    <row r="320" spans="1:19" x14ac:dyDescent="0.25">
      <c r="A320" s="19">
        <v>313</v>
      </c>
      <c r="B320" s="19" t="s">
        <v>382</v>
      </c>
      <c r="C320" s="19" t="s">
        <v>95</v>
      </c>
      <c r="D320" s="19" t="s">
        <v>1009</v>
      </c>
      <c r="E320" s="25" t="s">
        <v>718</v>
      </c>
      <c r="F320" s="25" t="s">
        <v>722</v>
      </c>
      <c r="G320" s="25" t="s">
        <v>96</v>
      </c>
      <c r="H320" s="26">
        <v>42264</v>
      </c>
      <c r="I320" s="25">
        <v>10384</v>
      </c>
      <c r="J320" s="25" t="s">
        <v>176</v>
      </c>
      <c r="K320" s="27">
        <v>3928771.59</v>
      </c>
      <c r="L320" s="25">
        <v>152</v>
      </c>
      <c r="M320" s="27">
        <v>46.881028452384498</v>
      </c>
      <c r="N320" s="27">
        <v>47.563800000000001</v>
      </c>
      <c r="O320" s="27">
        <v>63.966542874916101</v>
      </c>
      <c r="P320" s="27">
        <v>1980.3109999999999</v>
      </c>
      <c r="Q320" s="27">
        <v>1880.27</v>
      </c>
      <c r="R320" s="27">
        <v>319698.77100000001</v>
      </c>
      <c r="S320" s="27">
        <f t="shared" si="4"/>
        <v>8.1373722975837351E-2</v>
      </c>
    </row>
    <row r="321" spans="1:19" x14ac:dyDescent="0.25">
      <c r="A321" s="19">
        <v>314</v>
      </c>
      <c r="B321" s="19" t="s">
        <v>382</v>
      </c>
      <c r="C321" s="19" t="s">
        <v>95</v>
      </c>
      <c r="D321" s="19" t="s">
        <v>1009</v>
      </c>
      <c r="E321" s="25" t="s">
        <v>718</v>
      </c>
      <c r="F321" s="25" t="s">
        <v>723</v>
      </c>
      <c r="G321" s="25" t="s">
        <v>96</v>
      </c>
      <c r="H321" s="26">
        <v>42252</v>
      </c>
      <c r="I321" s="25">
        <v>10522</v>
      </c>
      <c r="J321" s="25" t="s">
        <v>239</v>
      </c>
      <c r="K321" s="27">
        <v>3483303.6940000001</v>
      </c>
      <c r="L321" s="25">
        <v>243</v>
      </c>
      <c r="M321" s="27">
        <v>51.482693415637868</v>
      </c>
      <c r="N321" s="27">
        <v>51.462000000000003</v>
      </c>
      <c r="O321" s="27">
        <v>76.794809681884402</v>
      </c>
      <c r="P321" s="27">
        <v>2354.7840000000001</v>
      </c>
      <c r="Q321" s="27">
        <v>1977.6420000000001</v>
      </c>
      <c r="R321" s="27">
        <v>572212.42499999981</v>
      </c>
      <c r="S321" s="27">
        <f t="shared" si="4"/>
        <v>0.16427290735104069</v>
      </c>
    </row>
    <row r="322" spans="1:19" x14ac:dyDescent="0.25">
      <c r="A322" s="19">
        <v>315</v>
      </c>
      <c r="B322" s="19" t="s">
        <v>382</v>
      </c>
      <c r="C322" s="19" t="s">
        <v>95</v>
      </c>
      <c r="D322" s="19" t="s">
        <v>1009</v>
      </c>
      <c r="E322" s="25" t="s">
        <v>718</v>
      </c>
      <c r="F322" s="25" t="s">
        <v>724</v>
      </c>
      <c r="G322" s="25" t="s">
        <v>97</v>
      </c>
      <c r="H322" s="26">
        <v>42255</v>
      </c>
      <c r="I322" s="25">
        <v>10542</v>
      </c>
      <c r="J322" s="25" t="s">
        <v>374</v>
      </c>
      <c r="K322" s="27">
        <v>5901453.2429999998</v>
      </c>
      <c r="L322" s="25">
        <v>213</v>
      </c>
      <c r="M322" s="27">
        <v>53.302070422535223</v>
      </c>
      <c r="N322" s="27">
        <v>53.851500000000001</v>
      </c>
      <c r="O322" s="27">
        <v>78.140119688021116</v>
      </c>
      <c r="P322" s="27">
        <v>2414.3409999999999</v>
      </c>
      <c r="Q322" s="27">
        <v>2171.346</v>
      </c>
      <c r="R322" s="27">
        <v>514254.70800000004</v>
      </c>
      <c r="S322" s="27">
        <f t="shared" si="4"/>
        <v>8.7140351168584193E-2</v>
      </c>
    </row>
    <row r="323" spans="1:19" x14ac:dyDescent="0.25">
      <c r="A323" s="19">
        <v>316</v>
      </c>
      <c r="B323" s="19" t="s">
        <v>382</v>
      </c>
      <c r="C323" s="19" t="s">
        <v>95</v>
      </c>
      <c r="D323" s="19" t="s">
        <v>1009</v>
      </c>
      <c r="E323" s="25" t="s">
        <v>718</v>
      </c>
      <c r="F323" s="25" t="s">
        <v>725</v>
      </c>
      <c r="G323" s="25" t="s">
        <v>96</v>
      </c>
      <c r="H323" s="26">
        <v>42255</v>
      </c>
      <c r="I323" s="25">
        <v>10542</v>
      </c>
      <c r="J323" s="25" t="s">
        <v>374</v>
      </c>
      <c r="K323" s="27">
        <v>3639498.0049999999</v>
      </c>
      <c r="L323" s="25">
        <v>206</v>
      </c>
      <c r="M323" s="27">
        <v>53.119531553398048</v>
      </c>
      <c r="N323" s="27">
        <v>50.395750000000007</v>
      </c>
      <c r="O323" s="27">
        <v>83.757157864016506</v>
      </c>
      <c r="P323" s="27">
        <v>2441.8580000000002</v>
      </c>
      <c r="Q323" s="27">
        <v>1815.4449999999999</v>
      </c>
      <c r="R323" s="27">
        <v>503022.712</v>
      </c>
      <c r="S323" s="27">
        <f t="shared" si="4"/>
        <v>0.13821211367857311</v>
      </c>
    </row>
    <row r="324" spans="1:19" x14ac:dyDescent="0.25">
      <c r="A324" s="19">
        <v>317</v>
      </c>
      <c r="B324" s="19" t="s">
        <v>382</v>
      </c>
      <c r="C324" s="19" t="s">
        <v>95</v>
      </c>
      <c r="D324" s="19" t="s">
        <v>1009</v>
      </c>
      <c r="E324" s="25" t="s">
        <v>718</v>
      </c>
      <c r="F324" s="25" t="s">
        <v>726</v>
      </c>
      <c r="G324" s="25" t="s">
        <v>96</v>
      </c>
      <c r="H324" s="26">
        <v>42255</v>
      </c>
      <c r="I324" s="25">
        <v>10612</v>
      </c>
      <c r="J324" s="25" t="s">
        <v>203</v>
      </c>
      <c r="K324" s="27">
        <v>5368216.5279999999</v>
      </c>
      <c r="L324" s="25">
        <v>186</v>
      </c>
      <c r="M324" s="27">
        <v>62.958284946236546</v>
      </c>
      <c r="N324" s="27">
        <v>65.966250000000002</v>
      </c>
      <c r="O324" s="27">
        <v>83.43505547438474</v>
      </c>
      <c r="P324" s="27">
        <v>3319.4340000000002</v>
      </c>
      <c r="Q324" s="27">
        <v>3251.1840000000002</v>
      </c>
      <c r="R324" s="27">
        <v>617414.63600000052</v>
      </c>
      <c r="S324" s="27">
        <f t="shared" si="4"/>
        <v>0.11501299040000283</v>
      </c>
    </row>
    <row r="325" spans="1:19" x14ac:dyDescent="0.25">
      <c r="A325" s="19">
        <v>318</v>
      </c>
      <c r="B325" s="19" t="s">
        <v>382</v>
      </c>
      <c r="C325" s="19" t="s">
        <v>95</v>
      </c>
      <c r="D325" s="19" t="s">
        <v>1009</v>
      </c>
      <c r="E325" s="25" t="s">
        <v>718</v>
      </c>
      <c r="F325" s="25" t="s">
        <v>727</v>
      </c>
      <c r="G325" s="25" t="s">
        <v>97</v>
      </c>
      <c r="H325" s="26">
        <v>42262</v>
      </c>
      <c r="I325" s="25">
        <v>20093</v>
      </c>
      <c r="J325" s="25" t="s">
        <v>234</v>
      </c>
      <c r="K325" s="27">
        <v>4019806.997</v>
      </c>
      <c r="L325" s="25">
        <v>251</v>
      </c>
      <c r="M325" s="27">
        <v>50.733764940239006</v>
      </c>
      <c r="N325" s="27">
        <v>52.421499999999995</v>
      </c>
      <c r="O325" s="27">
        <v>68.245225789800656</v>
      </c>
      <c r="P325" s="27">
        <v>2181.9690000000001</v>
      </c>
      <c r="Q325" s="27">
        <v>2077.761</v>
      </c>
      <c r="R325" s="27">
        <v>547674.152</v>
      </c>
      <c r="S325" s="27">
        <f t="shared" si="4"/>
        <v>0.13624389240795184</v>
      </c>
    </row>
    <row r="326" spans="1:19" x14ac:dyDescent="0.25">
      <c r="A326" s="19">
        <v>319</v>
      </c>
      <c r="B326" s="19" t="s">
        <v>382</v>
      </c>
      <c r="C326" s="19" t="s">
        <v>95</v>
      </c>
      <c r="D326" s="19" t="s">
        <v>1009</v>
      </c>
      <c r="E326" s="25" t="s">
        <v>718</v>
      </c>
      <c r="F326" s="25" t="s">
        <v>728</v>
      </c>
      <c r="G326" s="25" t="s">
        <v>97</v>
      </c>
      <c r="H326" s="26">
        <v>42263</v>
      </c>
      <c r="I326" s="25">
        <v>20149</v>
      </c>
      <c r="J326" s="25" t="s">
        <v>366</v>
      </c>
      <c r="K326" s="27">
        <v>3362200.051</v>
      </c>
      <c r="L326" s="25">
        <v>238</v>
      </c>
      <c r="M326" s="27">
        <v>48.293350840336153</v>
      </c>
      <c r="N326" s="27">
        <v>50.568750000000001</v>
      </c>
      <c r="O326" s="27">
        <v>58.892537077471545</v>
      </c>
      <c r="P326" s="27">
        <v>1877.106</v>
      </c>
      <c r="Q326" s="27">
        <v>1880.441</v>
      </c>
      <c r="R326" s="27">
        <v>446751.16000000009</v>
      </c>
      <c r="S326" s="27">
        <f t="shared" si="4"/>
        <v>0.1328746514851564</v>
      </c>
    </row>
    <row r="327" spans="1:19" x14ac:dyDescent="0.25">
      <c r="A327" s="19">
        <v>320</v>
      </c>
      <c r="B327" s="19" t="s">
        <v>382</v>
      </c>
      <c r="C327" s="19" t="s">
        <v>95</v>
      </c>
      <c r="D327" s="19" t="s">
        <v>1009</v>
      </c>
      <c r="E327" s="25" t="s">
        <v>718</v>
      </c>
      <c r="F327" s="25" t="s">
        <v>729</v>
      </c>
      <c r="G327" s="25" t="s">
        <v>97</v>
      </c>
      <c r="H327" s="26">
        <v>42252</v>
      </c>
      <c r="I327" s="25">
        <v>20186</v>
      </c>
      <c r="J327" s="25" t="s">
        <v>338</v>
      </c>
      <c r="K327" s="27">
        <v>20586931.16</v>
      </c>
      <c r="L327" s="25">
        <v>207</v>
      </c>
      <c r="M327" s="27">
        <v>136.5366062801933</v>
      </c>
      <c r="N327" s="27">
        <v>149.8125</v>
      </c>
      <c r="O327" s="27">
        <v>178.84053320760208</v>
      </c>
      <c r="P327" s="27">
        <v>16021.295</v>
      </c>
      <c r="Q327" s="27">
        <v>16650.088</v>
      </c>
      <c r="R327" s="27">
        <v>3316408.1000000006</v>
      </c>
      <c r="S327" s="27">
        <f t="shared" si="4"/>
        <v>0.16109288335522859</v>
      </c>
    </row>
    <row r="328" spans="1:19" x14ac:dyDescent="0.25">
      <c r="A328" s="19">
        <v>321</v>
      </c>
      <c r="B328" s="19" t="s">
        <v>382</v>
      </c>
      <c r="C328" s="19" t="s">
        <v>95</v>
      </c>
      <c r="D328" s="19" t="s">
        <v>1009</v>
      </c>
      <c r="E328" s="25" t="s">
        <v>718</v>
      </c>
      <c r="F328" s="25" t="s">
        <v>730</v>
      </c>
      <c r="G328" s="25" t="s">
        <v>96</v>
      </c>
      <c r="H328" s="26">
        <v>42258</v>
      </c>
      <c r="I328" s="25">
        <v>20187</v>
      </c>
      <c r="J328" s="25" t="s">
        <v>324</v>
      </c>
      <c r="K328" s="27">
        <v>4347184.2980000004</v>
      </c>
      <c r="L328" s="25">
        <v>143</v>
      </c>
      <c r="M328" s="27">
        <v>50.650849650349642</v>
      </c>
      <c r="N328" s="27">
        <v>50.119</v>
      </c>
      <c r="O328" s="27">
        <v>84.242989834838127</v>
      </c>
      <c r="P328" s="27">
        <v>2306.87</v>
      </c>
      <c r="Q328" s="27">
        <v>1698.056</v>
      </c>
      <c r="R328" s="27">
        <v>329882.38000000012</v>
      </c>
      <c r="S328" s="27">
        <f t="shared" ref="S328:S391" si="5">R328/K328</f>
        <v>7.588414876999082E-2</v>
      </c>
    </row>
    <row r="329" spans="1:19" x14ac:dyDescent="0.25">
      <c r="A329" s="19">
        <v>322</v>
      </c>
      <c r="B329" s="19" t="s">
        <v>382</v>
      </c>
      <c r="C329" s="19" t="s">
        <v>95</v>
      </c>
      <c r="D329" s="19" t="s">
        <v>1009</v>
      </c>
      <c r="E329" s="25" t="s">
        <v>718</v>
      </c>
      <c r="F329" s="25" t="s">
        <v>731</v>
      </c>
      <c r="G329" s="25" t="s">
        <v>96</v>
      </c>
      <c r="H329" s="26">
        <v>42252</v>
      </c>
      <c r="I329" s="25">
        <v>20208</v>
      </c>
      <c r="J329" s="25" t="s">
        <v>178</v>
      </c>
      <c r="K329" s="27">
        <v>3841826.88</v>
      </c>
      <c r="L329" s="25">
        <v>581</v>
      </c>
      <c r="M329" s="27">
        <v>35.525612736660925</v>
      </c>
      <c r="N329" s="27">
        <v>36.3645</v>
      </c>
      <c r="O329" s="27">
        <v>46.264897072547413</v>
      </c>
      <c r="P329" s="27">
        <v>1031.8979999999999</v>
      </c>
      <c r="Q329" s="27">
        <v>979.71900000000005</v>
      </c>
      <c r="R329" s="27">
        <v>599532.54299999948</v>
      </c>
      <c r="S329" s="27">
        <f t="shared" si="5"/>
        <v>0.15605402370447247</v>
      </c>
    </row>
    <row r="330" spans="1:19" x14ac:dyDescent="0.25">
      <c r="A330" s="19">
        <v>323</v>
      </c>
      <c r="B330" s="19" t="s">
        <v>382</v>
      </c>
      <c r="C330" s="19" t="s">
        <v>95</v>
      </c>
      <c r="D330" s="19" t="s">
        <v>1009</v>
      </c>
      <c r="E330" s="25" t="s">
        <v>718</v>
      </c>
      <c r="F330" s="25" t="s">
        <v>732</v>
      </c>
      <c r="G330" s="25" t="s">
        <v>97</v>
      </c>
      <c r="H330" s="26">
        <v>42264</v>
      </c>
      <c r="I330" s="25">
        <v>20217</v>
      </c>
      <c r="J330" s="25" t="s">
        <v>305</v>
      </c>
      <c r="K330" s="27">
        <v>3256935.284</v>
      </c>
      <c r="L330" s="25">
        <v>166</v>
      </c>
      <c r="M330" s="27">
        <v>67.141542168674775</v>
      </c>
      <c r="N330" s="27">
        <v>71.799750000000003</v>
      </c>
      <c r="O330" s="27">
        <v>91.706766504822639</v>
      </c>
      <c r="P330" s="27">
        <v>3878.9459999999999</v>
      </c>
      <c r="Q330" s="27">
        <v>3793.4369999999999</v>
      </c>
      <c r="R330" s="27">
        <v>643905.10600000096</v>
      </c>
      <c r="S330" s="27">
        <f t="shared" si="5"/>
        <v>0.19770276344244395</v>
      </c>
    </row>
    <row r="331" spans="1:19" x14ac:dyDescent="0.25">
      <c r="A331" s="19">
        <v>324</v>
      </c>
      <c r="B331" s="19" t="s">
        <v>382</v>
      </c>
      <c r="C331" s="19" t="s">
        <v>95</v>
      </c>
      <c r="D331" s="19" t="s">
        <v>1009</v>
      </c>
      <c r="E331" s="25" t="s">
        <v>718</v>
      </c>
      <c r="F331" s="25" t="s">
        <v>733</v>
      </c>
      <c r="G331" s="25" t="s">
        <v>96</v>
      </c>
      <c r="H331" s="26">
        <v>42254</v>
      </c>
      <c r="I331" s="25">
        <v>20219</v>
      </c>
      <c r="J331" s="25" t="s">
        <v>324</v>
      </c>
      <c r="K331" s="27">
        <v>6107659.6890000002</v>
      </c>
      <c r="L331" s="25">
        <v>181</v>
      </c>
      <c r="M331" s="27">
        <v>58.384234806629848</v>
      </c>
      <c r="N331" s="27">
        <v>57.545500000000004</v>
      </c>
      <c r="O331" s="27">
        <v>82.876098183395527</v>
      </c>
      <c r="P331" s="27">
        <v>2900.752</v>
      </c>
      <c r="Q331" s="27">
        <v>2525.1460000000002</v>
      </c>
      <c r="R331" s="27">
        <v>525036.05599999987</v>
      </c>
      <c r="S331" s="27">
        <f t="shared" si="5"/>
        <v>8.5963541312820496E-2</v>
      </c>
    </row>
    <row r="332" spans="1:19" x14ac:dyDescent="0.25">
      <c r="A332" s="19">
        <v>325</v>
      </c>
      <c r="B332" s="19" t="s">
        <v>382</v>
      </c>
      <c r="C332" s="19" t="s">
        <v>95</v>
      </c>
      <c r="D332" s="19" t="s">
        <v>1009</v>
      </c>
      <c r="E332" s="25" t="s">
        <v>718</v>
      </c>
      <c r="F332" s="25" t="s">
        <v>734</v>
      </c>
      <c r="G332" s="25" t="s">
        <v>96</v>
      </c>
      <c r="H332" s="26">
        <v>42251</v>
      </c>
      <c r="I332" s="25">
        <v>20239</v>
      </c>
      <c r="J332" s="25" t="s">
        <v>178</v>
      </c>
      <c r="K332" s="27">
        <v>3536511.0040000002</v>
      </c>
      <c r="L332" s="25">
        <v>702</v>
      </c>
      <c r="M332" s="27">
        <v>35.894972934472918</v>
      </c>
      <c r="N332" s="27">
        <v>37.677999999999997</v>
      </c>
      <c r="O332" s="27">
        <v>43.57381586399454</v>
      </c>
      <c r="P332" s="27">
        <v>1035.076</v>
      </c>
      <c r="Q332" s="27">
        <v>1035.2635</v>
      </c>
      <c r="R332" s="27">
        <v>726623.25299999979</v>
      </c>
      <c r="S332" s="27">
        <f t="shared" si="5"/>
        <v>0.20546330894436537</v>
      </c>
    </row>
    <row r="333" spans="1:19" x14ac:dyDescent="0.25">
      <c r="A333" s="19">
        <v>326</v>
      </c>
      <c r="B333" s="19" t="s">
        <v>382</v>
      </c>
      <c r="C333" s="19" t="s">
        <v>95</v>
      </c>
      <c r="D333" s="19" t="s">
        <v>1009</v>
      </c>
      <c r="E333" s="25" t="s">
        <v>718</v>
      </c>
      <c r="F333" s="25" t="s">
        <v>735</v>
      </c>
      <c r="G333" s="25" t="s">
        <v>96</v>
      </c>
      <c r="H333" s="26">
        <v>42257</v>
      </c>
      <c r="I333" s="25">
        <v>20245</v>
      </c>
      <c r="J333" s="25" t="s">
        <v>324</v>
      </c>
      <c r="K333" s="27">
        <v>6581740.7640000004</v>
      </c>
      <c r="L333" s="25">
        <v>207</v>
      </c>
      <c r="M333" s="27">
        <v>53.157855072463811</v>
      </c>
      <c r="N333" s="27">
        <v>50.593499999999999</v>
      </c>
      <c r="O333" s="27">
        <v>82.354091738371281</v>
      </c>
      <c r="P333" s="27">
        <v>2480.0140000000001</v>
      </c>
      <c r="Q333" s="27">
        <v>1857.453</v>
      </c>
      <c r="R333" s="27">
        <v>513362.973</v>
      </c>
      <c r="S333" s="27">
        <f t="shared" si="5"/>
        <v>7.7998054224184876E-2</v>
      </c>
    </row>
    <row r="334" spans="1:19" x14ac:dyDescent="0.25">
      <c r="A334" s="19">
        <v>327</v>
      </c>
      <c r="B334" s="19" t="s">
        <v>382</v>
      </c>
      <c r="C334" s="19" t="s">
        <v>95</v>
      </c>
      <c r="D334" s="19" t="s">
        <v>1009</v>
      </c>
      <c r="E334" s="25" t="s">
        <v>718</v>
      </c>
      <c r="F334" s="25" t="s">
        <v>736</v>
      </c>
      <c r="G334" s="25" t="s">
        <v>96</v>
      </c>
      <c r="H334" s="26">
        <v>42258</v>
      </c>
      <c r="I334" s="25">
        <v>20286</v>
      </c>
      <c r="J334" s="25" t="s">
        <v>300</v>
      </c>
      <c r="K334" s="27">
        <v>3562407.9909999999</v>
      </c>
      <c r="L334" s="25">
        <v>202</v>
      </c>
      <c r="M334" s="27">
        <v>43.838571782178207</v>
      </c>
      <c r="N334" s="27">
        <v>45.330749999999995</v>
      </c>
      <c r="O334" s="27">
        <v>62.565127889687432</v>
      </c>
      <c r="P334" s="27">
        <v>1637.7929999999999</v>
      </c>
      <c r="Q334" s="27">
        <v>1504.9360000000001</v>
      </c>
      <c r="R334" s="27">
        <v>330834.087</v>
      </c>
      <c r="S334" s="27">
        <f t="shared" si="5"/>
        <v>9.2868107144328485E-2</v>
      </c>
    </row>
    <row r="335" spans="1:19" x14ac:dyDescent="0.25">
      <c r="A335" s="19">
        <v>328</v>
      </c>
      <c r="B335" s="19" t="s">
        <v>382</v>
      </c>
      <c r="C335" s="19" t="s">
        <v>95</v>
      </c>
      <c r="D335" s="19" t="s">
        <v>1009</v>
      </c>
      <c r="E335" s="25" t="s">
        <v>718</v>
      </c>
      <c r="F335" s="25" t="s">
        <v>737</v>
      </c>
      <c r="G335" s="25" t="s">
        <v>97</v>
      </c>
      <c r="H335" s="26">
        <v>42263</v>
      </c>
      <c r="I335" s="25">
        <v>20318</v>
      </c>
      <c r="J335" s="25" t="s">
        <v>135</v>
      </c>
      <c r="K335" s="27">
        <v>4475684.1469999999</v>
      </c>
      <c r="L335" s="25">
        <v>175</v>
      </c>
      <c r="M335" s="27">
        <v>60.45984000000005</v>
      </c>
      <c r="N335" s="27">
        <v>61.517000000000003</v>
      </c>
      <c r="O335" s="27">
        <v>83.048515358231043</v>
      </c>
      <c r="P335" s="27">
        <v>3143.2919999999999</v>
      </c>
      <c r="Q335" s="27">
        <v>2822.9360000000001</v>
      </c>
      <c r="R335" s="27">
        <v>550076.08100000012</v>
      </c>
      <c r="S335" s="27">
        <f t="shared" si="5"/>
        <v>0.12290323957929647</v>
      </c>
    </row>
    <row r="336" spans="1:19" x14ac:dyDescent="0.25">
      <c r="A336" s="19">
        <v>329</v>
      </c>
      <c r="B336" s="19" t="s">
        <v>382</v>
      </c>
      <c r="C336" s="19" t="s">
        <v>95</v>
      </c>
      <c r="D336" s="19" t="s">
        <v>1009</v>
      </c>
      <c r="E336" s="25" t="s">
        <v>718</v>
      </c>
      <c r="F336" s="25" t="s">
        <v>738</v>
      </c>
      <c r="G336" s="25" t="s">
        <v>96</v>
      </c>
      <c r="H336" s="26">
        <v>42255</v>
      </c>
      <c r="I336" s="25">
        <v>20322</v>
      </c>
      <c r="J336" s="25" t="s">
        <v>222</v>
      </c>
      <c r="K336" s="27">
        <v>3467382.2030000002</v>
      </c>
      <c r="L336" s="25">
        <v>82</v>
      </c>
      <c r="M336" s="27">
        <v>48.28067073170731</v>
      </c>
      <c r="N336" s="27">
        <v>35.437750000000001</v>
      </c>
      <c r="O336" s="27">
        <v>112.06506639850977</v>
      </c>
      <c r="P336" s="27">
        <v>2506.2510000000002</v>
      </c>
      <c r="Q336" s="27">
        <v>866.99800000000005</v>
      </c>
      <c r="R336" s="27">
        <v>205512.60899999991</v>
      </c>
      <c r="S336" s="27">
        <f t="shared" si="5"/>
        <v>5.9270249706591081E-2</v>
      </c>
    </row>
    <row r="337" spans="1:19" x14ac:dyDescent="0.25">
      <c r="A337" s="19">
        <v>330</v>
      </c>
      <c r="B337" s="19" t="s">
        <v>382</v>
      </c>
      <c r="C337" s="19" t="s">
        <v>95</v>
      </c>
      <c r="D337" s="19" t="s">
        <v>1009</v>
      </c>
      <c r="E337" s="25" t="s">
        <v>718</v>
      </c>
      <c r="F337" s="25" t="s">
        <v>739</v>
      </c>
      <c r="G337" s="25" t="s">
        <v>96</v>
      </c>
      <c r="H337" s="26">
        <v>42255</v>
      </c>
      <c r="I337" s="25">
        <v>20328</v>
      </c>
      <c r="J337" s="25" t="s">
        <v>317</v>
      </c>
      <c r="K337" s="27">
        <v>4289190.88</v>
      </c>
      <c r="L337" s="25">
        <v>160</v>
      </c>
      <c r="M337" s="27">
        <v>42.513834375000002</v>
      </c>
      <c r="N337" s="27">
        <v>42.160249999999998</v>
      </c>
      <c r="O337" s="27">
        <v>62.832154711021133</v>
      </c>
      <c r="P337" s="27">
        <v>1537.2470000000001</v>
      </c>
      <c r="Q337" s="27">
        <v>1298.7470000000001</v>
      </c>
      <c r="R337" s="27">
        <v>245959.5260000001</v>
      </c>
      <c r="S337" s="27">
        <f t="shared" si="5"/>
        <v>5.7344038276981535E-2</v>
      </c>
    </row>
    <row r="338" spans="1:19" x14ac:dyDescent="0.25">
      <c r="A338" s="19">
        <v>331</v>
      </c>
      <c r="B338" s="19" t="s">
        <v>382</v>
      </c>
      <c r="C338" s="19" t="s">
        <v>95</v>
      </c>
      <c r="D338" s="19" t="s">
        <v>1009</v>
      </c>
      <c r="E338" s="25" t="s">
        <v>718</v>
      </c>
      <c r="F338" s="25" t="s">
        <v>740</v>
      </c>
      <c r="G338" s="25" t="s">
        <v>96</v>
      </c>
      <c r="H338" s="26">
        <v>42257</v>
      </c>
      <c r="I338" s="25">
        <v>20348</v>
      </c>
      <c r="J338" s="25" t="s">
        <v>199</v>
      </c>
      <c r="K338" s="27">
        <v>6621175.7570000002</v>
      </c>
      <c r="L338" s="25">
        <v>199</v>
      </c>
      <c r="M338" s="27">
        <v>46.9821809045226</v>
      </c>
      <c r="N338" s="27">
        <v>42.204000000000001</v>
      </c>
      <c r="O338" s="27">
        <v>81.457658388943742</v>
      </c>
      <c r="P338" s="27">
        <v>2052.0439999999999</v>
      </c>
      <c r="Q338" s="27">
        <v>1298.047</v>
      </c>
      <c r="R338" s="27">
        <v>408356.78400000004</v>
      </c>
      <c r="S338" s="27">
        <f t="shared" si="5"/>
        <v>6.1674361017872013E-2</v>
      </c>
    </row>
    <row r="339" spans="1:19" x14ac:dyDescent="0.25">
      <c r="A339" s="19">
        <v>332</v>
      </c>
      <c r="B339" s="19" t="s">
        <v>382</v>
      </c>
      <c r="C339" s="19" t="s">
        <v>95</v>
      </c>
      <c r="D339" s="19" t="s">
        <v>1009</v>
      </c>
      <c r="E339" s="25" t="s">
        <v>718</v>
      </c>
      <c r="F339" s="25" t="s">
        <v>741</v>
      </c>
      <c r="G339" s="25" t="s">
        <v>96</v>
      </c>
      <c r="H339" s="26">
        <v>42257</v>
      </c>
      <c r="I339" s="25">
        <v>20351</v>
      </c>
      <c r="J339" s="25" t="s">
        <v>324</v>
      </c>
      <c r="K339" s="27">
        <v>4144600.341</v>
      </c>
      <c r="L339" s="25">
        <v>145</v>
      </c>
      <c r="M339" s="27">
        <v>51.924861111111099</v>
      </c>
      <c r="N339" s="27">
        <v>52.578749999999999</v>
      </c>
      <c r="O339" s="27">
        <v>70.811692282037654</v>
      </c>
      <c r="P339" s="27">
        <v>2270.5349999999999</v>
      </c>
      <c r="Q339" s="27">
        <v>2002.1469999999999</v>
      </c>
      <c r="R339" s="27">
        <v>329227.51400000002</v>
      </c>
      <c r="S339" s="27">
        <f t="shared" si="5"/>
        <v>7.9435286134383887E-2</v>
      </c>
    </row>
    <row r="340" spans="1:19" x14ac:dyDescent="0.25">
      <c r="A340" s="19">
        <v>333</v>
      </c>
      <c r="B340" s="19" t="s">
        <v>382</v>
      </c>
      <c r="C340" s="19" t="s">
        <v>95</v>
      </c>
      <c r="D340" s="19" t="s">
        <v>1009</v>
      </c>
      <c r="E340" s="25" t="s">
        <v>718</v>
      </c>
      <c r="F340" s="25" t="s">
        <v>742</v>
      </c>
      <c r="G340" s="25" t="s">
        <v>96</v>
      </c>
      <c r="H340" s="26">
        <v>42257</v>
      </c>
      <c r="I340" s="25">
        <v>20362</v>
      </c>
      <c r="J340" s="25" t="s">
        <v>324</v>
      </c>
      <c r="K340" s="27">
        <v>3677967.747</v>
      </c>
      <c r="L340" s="25">
        <v>97</v>
      </c>
      <c r="M340" s="27">
        <v>60.697907216494826</v>
      </c>
      <c r="N340" s="27">
        <v>57.13</v>
      </c>
      <c r="O340" s="27">
        <v>101.85830458885061</v>
      </c>
      <c r="P340" s="27">
        <v>3338.6120000000001</v>
      </c>
      <c r="Q340" s="27">
        <v>2351.7469999999998</v>
      </c>
      <c r="R340" s="27">
        <v>323845.36200000008</v>
      </c>
      <c r="S340" s="27">
        <f t="shared" si="5"/>
        <v>8.8050082077024833E-2</v>
      </c>
    </row>
    <row r="341" spans="1:19" x14ac:dyDescent="0.25">
      <c r="A341" s="19">
        <v>334</v>
      </c>
      <c r="B341" s="19" t="s">
        <v>382</v>
      </c>
      <c r="C341" s="19" t="s">
        <v>95</v>
      </c>
      <c r="D341" s="19" t="s">
        <v>1009</v>
      </c>
      <c r="E341" s="25" t="s">
        <v>718</v>
      </c>
      <c r="F341" s="25" t="s">
        <v>743</v>
      </c>
      <c r="G341" s="25" t="s">
        <v>96</v>
      </c>
      <c r="H341" s="26">
        <v>42257</v>
      </c>
      <c r="I341" s="25">
        <v>20363</v>
      </c>
      <c r="J341" s="25" t="s">
        <v>190</v>
      </c>
      <c r="K341" s="27">
        <v>3250264.4169999999</v>
      </c>
      <c r="L341" s="25">
        <v>243</v>
      </c>
      <c r="M341" s="27">
        <v>37.155722222222245</v>
      </c>
      <c r="N341" s="27">
        <v>37.279499999999999</v>
      </c>
      <c r="O341" s="27">
        <v>46.98448362850786</v>
      </c>
      <c r="P341" s="27">
        <v>1103.954</v>
      </c>
      <c r="Q341" s="27">
        <v>1008.8920000000001</v>
      </c>
      <c r="R341" s="27">
        <v>268260.87</v>
      </c>
      <c r="S341" s="27">
        <f t="shared" si="5"/>
        <v>8.2535091175014397E-2</v>
      </c>
    </row>
    <row r="342" spans="1:19" x14ac:dyDescent="0.25">
      <c r="A342" s="19">
        <v>335</v>
      </c>
      <c r="B342" s="19" t="s">
        <v>382</v>
      </c>
      <c r="C342" s="19" t="s">
        <v>95</v>
      </c>
      <c r="D342" s="19" t="s">
        <v>1009</v>
      </c>
      <c r="E342" s="25" t="s">
        <v>718</v>
      </c>
      <c r="F342" s="25" t="s">
        <v>744</v>
      </c>
      <c r="G342" s="25" t="s">
        <v>96</v>
      </c>
      <c r="H342" s="26">
        <v>42252</v>
      </c>
      <c r="I342" s="25">
        <v>20367</v>
      </c>
      <c r="J342" s="25" t="s">
        <v>178</v>
      </c>
      <c r="K342" s="27">
        <v>3780128.358</v>
      </c>
      <c r="L342" s="25">
        <v>455</v>
      </c>
      <c r="M342" s="27">
        <v>42.537562637362633</v>
      </c>
      <c r="N342" s="27">
        <v>44.170999999999999</v>
      </c>
      <c r="O342" s="27">
        <v>51.387163258073095</v>
      </c>
      <c r="P342" s="27">
        <v>1433.9069999999999</v>
      </c>
      <c r="Q342" s="27">
        <v>1434.106</v>
      </c>
      <c r="R342" s="27">
        <v>652427.84299999999</v>
      </c>
      <c r="S342" s="27">
        <f t="shared" si="5"/>
        <v>0.17259409766317782</v>
      </c>
    </row>
    <row r="343" spans="1:19" x14ac:dyDescent="0.25">
      <c r="A343" s="19">
        <v>336</v>
      </c>
      <c r="B343" s="19" t="s">
        <v>382</v>
      </c>
      <c r="C343" s="19" t="s">
        <v>95</v>
      </c>
      <c r="D343" s="19" t="s">
        <v>1009</v>
      </c>
      <c r="E343" s="25" t="s">
        <v>718</v>
      </c>
      <c r="F343" s="25" t="s">
        <v>745</v>
      </c>
      <c r="G343" s="25" t="s">
        <v>97</v>
      </c>
      <c r="H343" s="26">
        <v>42252</v>
      </c>
      <c r="I343" s="25">
        <v>20368</v>
      </c>
      <c r="J343" s="25" t="s">
        <v>338</v>
      </c>
      <c r="K343" s="27">
        <v>6318917.1279999996</v>
      </c>
      <c r="L343" s="25">
        <v>241</v>
      </c>
      <c r="M343" s="27">
        <v>66.740327800829874</v>
      </c>
      <c r="N343" s="27">
        <v>74.771500000000003</v>
      </c>
      <c r="O343" s="27">
        <v>99.63192562758735</v>
      </c>
      <c r="P343" s="27">
        <v>4216.8710000000001</v>
      </c>
      <c r="Q343" s="27">
        <v>4144.7879999999996</v>
      </c>
      <c r="R343" s="27">
        <v>1016265.9549999996</v>
      </c>
      <c r="S343" s="27">
        <f t="shared" si="5"/>
        <v>0.16082913170308627</v>
      </c>
    </row>
    <row r="344" spans="1:19" x14ac:dyDescent="0.25">
      <c r="A344" s="19">
        <v>337</v>
      </c>
      <c r="B344" s="19" t="s">
        <v>382</v>
      </c>
      <c r="C344" s="19" t="s">
        <v>95</v>
      </c>
      <c r="D344" s="19" t="s">
        <v>1009</v>
      </c>
      <c r="E344" s="25" t="s">
        <v>718</v>
      </c>
      <c r="F344" s="25" t="s">
        <v>746</v>
      </c>
      <c r="G344" s="25" t="s">
        <v>97</v>
      </c>
      <c r="H344" s="26">
        <v>42252</v>
      </c>
      <c r="I344" s="25">
        <v>20370</v>
      </c>
      <c r="J344" s="25" t="s">
        <v>370</v>
      </c>
      <c r="K344" s="27">
        <v>4596542.51</v>
      </c>
      <c r="L344" s="25">
        <v>261</v>
      </c>
      <c r="M344" s="27">
        <v>45.918078544061267</v>
      </c>
      <c r="N344" s="27">
        <v>45.974000000000004</v>
      </c>
      <c r="O344" s="27">
        <v>55.161351171586048</v>
      </c>
      <c r="P344" s="27">
        <v>1652.5630000000001</v>
      </c>
      <c r="Q344" s="27">
        <v>1567.364</v>
      </c>
      <c r="R344" s="27">
        <v>431318.8130000002</v>
      </c>
      <c r="S344" s="27">
        <f t="shared" si="5"/>
        <v>9.3835488753045426E-2</v>
      </c>
    </row>
    <row r="345" spans="1:19" x14ac:dyDescent="0.25">
      <c r="A345" s="19">
        <v>338</v>
      </c>
      <c r="B345" s="19" t="s">
        <v>382</v>
      </c>
      <c r="C345" s="19" t="s">
        <v>95</v>
      </c>
      <c r="D345" s="19" t="s">
        <v>1009</v>
      </c>
      <c r="E345" s="25" t="s">
        <v>718</v>
      </c>
      <c r="F345" s="25" t="s">
        <v>747</v>
      </c>
      <c r="G345" s="25" t="s">
        <v>96</v>
      </c>
      <c r="H345" s="26">
        <v>42252</v>
      </c>
      <c r="I345" s="25">
        <v>20370</v>
      </c>
      <c r="J345" s="25" t="s">
        <v>370</v>
      </c>
      <c r="K345" s="27">
        <v>5384489.0199999996</v>
      </c>
      <c r="L345" s="25">
        <v>203</v>
      </c>
      <c r="M345" s="27">
        <v>63.826224137931035</v>
      </c>
      <c r="N345" s="27">
        <v>61.927500000000002</v>
      </c>
      <c r="O345" s="27">
        <v>88.082002635943013</v>
      </c>
      <c r="P345" s="27">
        <v>3403.93</v>
      </c>
      <c r="Q345" s="27">
        <v>2930.99</v>
      </c>
      <c r="R345" s="27">
        <v>690997.68999999971</v>
      </c>
      <c r="S345" s="27">
        <f t="shared" si="5"/>
        <v>0.12833115406742901</v>
      </c>
    </row>
    <row r="346" spans="1:19" x14ac:dyDescent="0.25">
      <c r="A346" s="19">
        <v>339</v>
      </c>
      <c r="B346" s="19" t="s">
        <v>382</v>
      </c>
      <c r="C346" s="19" t="s">
        <v>95</v>
      </c>
      <c r="D346" s="19" t="s">
        <v>1009</v>
      </c>
      <c r="E346" s="25" t="s">
        <v>718</v>
      </c>
      <c r="F346" s="25" t="s">
        <v>748</v>
      </c>
      <c r="G346" s="25" t="s">
        <v>97</v>
      </c>
      <c r="H346" s="26">
        <v>42258</v>
      </c>
      <c r="I346" s="25">
        <v>20382</v>
      </c>
      <c r="J346" s="25" t="s">
        <v>174</v>
      </c>
      <c r="K346" s="27">
        <v>4444055.17</v>
      </c>
      <c r="L346" s="25">
        <v>179</v>
      </c>
      <c r="M346" s="27">
        <v>57.135379888268155</v>
      </c>
      <c r="N346" s="27">
        <v>59.541499999999999</v>
      </c>
      <c r="O346" s="27">
        <v>79.29408776274154</v>
      </c>
      <c r="P346" s="27">
        <v>2797.3760000000002</v>
      </c>
      <c r="Q346" s="27">
        <v>2718.6170000000002</v>
      </c>
      <c r="R346" s="27">
        <v>500730.24</v>
      </c>
      <c r="S346" s="27">
        <f t="shared" si="5"/>
        <v>0.11267417276460139</v>
      </c>
    </row>
    <row r="347" spans="1:19" x14ac:dyDescent="0.25">
      <c r="A347" s="19">
        <v>340</v>
      </c>
      <c r="B347" s="19" t="s">
        <v>382</v>
      </c>
      <c r="C347" s="19" t="s">
        <v>95</v>
      </c>
      <c r="D347" s="19" t="s">
        <v>1009</v>
      </c>
      <c r="E347" s="25" t="s">
        <v>718</v>
      </c>
      <c r="F347" s="25" t="s">
        <v>749</v>
      </c>
      <c r="G347" s="25" t="s">
        <v>96</v>
      </c>
      <c r="H347" s="26">
        <v>42257</v>
      </c>
      <c r="I347" s="25">
        <v>20390</v>
      </c>
      <c r="J347" s="25" t="s">
        <v>301</v>
      </c>
      <c r="K347" s="27">
        <v>5617599.0099999998</v>
      </c>
      <c r="L347" s="25">
        <v>207</v>
      </c>
      <c r="M347" s="27">
        <v>45.871314009661852</v>
      </c>
      <c r="N347" s="27">
        <v>46.888500000000001</v>
      </c>
      <c r="O347" s="27">
        <v>62.28960711634398</v>
      </c>
      <c r="P347" s="27">
        <v>1746.732</v>
      </c>
      <c r="Q347" s="27">
        <v>1636.211</v>
      </c>
      <c r="R347" s="27">
        <v>361573.43</v>
      </c>
      <c r="S347" s="27">
        <f t="shared" si="5"/>
        <v>6.4364407170457688E-2</v>
      </c>
    </row>
    <row r="348" spans="1:19" x14ac:dyDescent="0.25">
      <c r="A348" s="19">
        <v>341</v>
      </c>
      <c r="B348" s="19" t="s">
        <v>382</v>
      </c>
      <c r="C348" s="19" t="s">
        <v>95</v>
      </c>
      <c r="D348" s="19" t="s">
        <v>1009</v>
      </c>
      <c r="E348" s="25" t="s">
        <v>718</v>
      </c>
      <c r="F348" s="25" t="s">
        <v>750</v>
      </c>
      <c r="G348" s="25" t="s">
        <v>96</v>
      </c>
      <c r="H348" s="26">
        <v>42257</v>
      </c>
      <c r="I348" s="25">
        <v>20398</v>
      </c>
      <c r="J348" s="25" t="s">
        <v>304</v>
      </c>
      <c r="K348" s="27">
        <v>6059104.7630000003</v>
      </c>
      <c r="L348" s="25">
        <v>118</v>
      </c>
      <c r="M348" s="27">
        <v>54.123533898305105</v>
      </c>
      <c r="N348" s="27">
        <v>56.628749999999997</v>
      </c>
      <c r="O348" s="27">
        <v>84.747911655869075</v>
      </c>
      <c r="P348" s="27">
        <v>2700.5569999999998</v>
      </c>
      <c r="Q348" s="27">
        <v>2321.6409999999996</v>
      </c>
      <c r="R348" s="27">
        <v>318665.77999999997</v>
      </c>
      <c r="S348" s="27">
        <f t="shared" si="5"/>
        <v>5.2592881698619337E-2</v>
      </c>
    </row>
    <row r="349" spans="1:19" x14ac:dyDescent="0.25">
      <c r="A349" s="19">
        <v>342</v>
      </c>
      <c r="B349" s="19" t="s">
        <v>382</v>
      </c>
      <c r="C349" s="19" t="s">
        <v>95</v>
      </c>
      <c r="D349" s="19" t="s">
        <v>1009</v>
      </c>
      <c r="E349" s="25" t="s">
        <v>718</v>
      </c>
      <c r="F349" s="25" t="s">
        <v>751</v>
      </c>
      <c r="G349" s="25" t="s">
        <v>96</v>
      </c>
      <c r="H349" s="26">
        <v>42255</v>
      </c>
      <c r="I349" s="25">
        <v>20419</v>
      </c>
      <c r="J349" s="25" t="s">
        <v>366</v>
      </c>
      <c r="K349" s="27">
        <v>7827313.1229999997</v>
      </c>
      <c r="L349" s="25">
        <v>147</v>
      </c>
      <c r="M349" s="27">
        <v>80.887003401360587</v>
      </c>
      <c r="N349" s="27">
        <v>73.507000000000005</v>
      </c>
      <c r="O349" s="27">
        <v>140.58931805143362</v>
      </c>
      <c r="P349" s="27">
        <v>6321.5550000000003</v>
      </c>
      <c r="Q349" s="27">
        <v>3904.4090000000001</v>
      </c>
      <c r="R349" s="27">
        <v>929268.59100000048</v>
      </c>
      <c r="S349" s="27">
        <f t="shared" si="5"/>
        <v>0.11872127464396579</v>
      </c>
    </row>
    <row r="350" spans="1:19" x14ac:dyDescent="0.25">
      <c r="A350" s="19">
        <v>343</v>
      </c>
      <c r="B350" s="19" t="s">
        <v>382</v>
      </c>
      <c r="C350" s="19" t="s">
        <v>95</v>
      </c>
      <c r="D350" s="19" t="s">
        <v>1009</v>
      </c>
      <c r="E350" s="25" t="s">
        <v>718</v>
      </c>
      <c r="F350" s="25" t="s">
        <v>752</v>
      </c>
      <c r="G350" s="25" t="s">
        <v>96</v>
      </c>
      <c r="H350" s="26">
        <v>42254</v>
      </c>
      <c r="I350" s="25">
        <v>20523</v>
      </c>
      <c r="J350" s="25" t="s">
        <v>370</v>
      </c>
      <c r="K350" s="27">
        <v>3663653.5279999999</v>
      </c>
      <c r="L350" s="25">
        <v>426</v>
      </c>
      <c r="M350" s="27">
        <v>51.289836854460084</v>
      </c>
      <c r="N350" s="27">
        <v>51.107749999999996</v>
      </c>
      <c r="O350" s="27">
        <v>67.003518042985661</v>
      </c>
      <c r="P350" s="27">
        <v>2132.5830000000001</v>
      </c>
      <c r="Q350" s="27">
        <v>1936.451</v>
      </c>
      <c r="R350" s="27">
        <v>908480.47699999996</v>
      </c>
      <c r="S350" s="27">
        <f t="shared" si="5"/>
        <v>0.24797117687488923</v>
      </c>
    </row>
    <row r="351" spans="1:19" x14ac:dyDescent="0.25">
      <c r="A351" s="19">
        <v>344</v>
      </c>
      <c r="B351" s="19" t="s">
        <v>382</v>
      </c>
      <c r="C351" s="19" t="s">
        <v>95</v>
      </c>
      <c r="D351" s="19" t="s">
        <v>1009</v>
      </c>
      <c r="E351" s="25" t="s">
        <v>718</v>
      </c>
      <c r="F351" s="25" t="s">
        <v>754</v>
      </c>
      <c r="G351" s="25" t="s">
        <v>96</v>
      </c>
      <c r="H351" s="26">
        <v>42255</v>
      </c>
      <c r="I351" s="25">
        <v>20593</v>
      </c>
      <c r="J351" s="25" t="s">
        <v>217</v>
      </c>
      <c r="K351" s="27">
        <v>3655865.014</v>
      </c>
      <c r="L351" s="25">
        <v>284</v>
      </c>
      <c r="M351" s="27">
        <v>50.202829225352126</v>
      </c>
      <c r="N351" s="27">
        <v>49.9435</v>
      </c>
      <c r="O351" s="27">
        <v>70.489009991683801</v>
      </c>
      <c r="P351" s="27">
        <v>2074.12</v>
      </c>
      <c r="Q351" s="27">
        <v>1801.4425000000001</v>
      </c>
      <c r="R351" s="27">
        <v>589050.16000000015</v>
      </c>
      <c r="S351" s="27">
        <f t="shared" si="5"/>
        <v>0.16112470174480029</v>
      </c>
    </row>
    <row r="352" spans="1:19" x14ac:dyDescent="0.25">
      <c r="A352" s="19">
        <v>345</v>
      </c>
      <c r="B352" s="19" t="s">
        <v>382</v>
      </c>
      <c r="C352" s="19" t="s">
        <v>95</v>
      </c>
      <c r="D352" s="19" t="s">
        <v>1009</v>
      </c>
      <c r="E352" s="25" t="s">
        <v>718</v>
      </c>
      <c r="F352" s="25" t="s">
        <v>753</v>
      </c>
      <c r="G352" s="25" t="s">
        <v>97</v>
      </c>
      <c r="H352" s="26">
        <v>42256</v>
      </c>
      <c r="I352" s="25">
        <v>20593</v>
      </c>
      <c r="J352" s="25" t="s">
        <v>217</v>
      </c>
      <c r="K352" s="27">
        <v>4100728.2140000002</v>
      </c>
      <c r="L352" s="25">
        <v>268</v>
      </c>
      <c r="M352" s="27">
        <v>49.325835641456301</v>
      </c>
      <c r="N352" s="27">
        <v>48.326799999999999</v>
      </c>
      <c r="O352" s="27">
        <v>68.354756844632007</v>
      </c>
      <c r="P352" s="27">
        <v>2053.66</v>
      </c>
      <c r="Q352" s="27">
        <v>1717.6241</v>
      </c>
      <c r="R352" s="27">
        <v>499256.21</v>
      </c>
      <c r="S352" s="27">
        <f t="shared" si="5"/>
        <v>0.12174818323621776</v>
      </c>
    </row>
    <row r="353" spans="1:19" x14ac:dyDescent="0.25">
      <c r="A353" s="19">
        <v>346</v>
      </c>
      <c r="B353" s="19" t="s">
        <v>382</v>
      </c>
      <c r="C353" s="19" t="s">
        <v>95</v>
      </c>
      <c r="D353" s="19" t="s">
        <v>1009</v>
      </c>
      <c r="E353" s="25" t="s">
        <v>718</v>
      </c>
      <c r="F353" s="25" t="s">
        <v>755</v>
      </c>
      <c r="G353" s="25" t="s">
        <v>97</v>
      </c>
      <c r="H353" s="26">
        <v>42255</v>
      </c>
      <c r="I353" s="25">
        <v>20629</v>
      </c>
      <c r="J353" s="25" t="s">
        <v>343</v>
      </c>
      <c r="K353" s="27">
        <v>4419728.5820000004</v>
      </c>
      <c r="L353" s="25">
        <v>136</v>
      </c>
      <c r="M353" s="27">
        <v>67.974029411764718</v>
      </c>
      <c r="N353" s="27">
        <v>73.613249999999994</v>
      </c>
      <c r="O353" s="27">
        <v>102.00347111821463</v>
      </c>
      <c r="P353" s="27">
        <v>4216.817</v>
      </c>
      <c r="Q353" s="27">
        <v>4059.2545</v>
      </c>
      <c r="R353" s="27">
        <v>573487.13099999994</v>
      </c>
      <c r="S353" s="27">
        <f t="shared" si="5"/>
        <v>0.12975618759387425</v>
      </c>
    </row>
    <row r="354" spans="1:19" x14ac:dyDescent="0.25">
      <c r="A354" s="19">
        <v>347</v>
      </c>
      <c r="B354" s="19" t="s">
        <v>382</v>
      </c>
      <c r="C354" s="19" t="s">
        <v>95</v>
      </c>
      <c r="D354" s="19" t="s">
        <v>1009</v>
      </c>
      <c r="E354" s="25" t="s">
        <v>718</v>
      </c>
      <c r="F354" s="25" t="s">
        <v>756</v>
      </c>
      <c r="G354" s="25" t="s">
        <v>97</v>
      </c>
      <c r="H354" s="26">
        <v>42264</v>
      </c>
      <c r="I354" s="25">
        <v>20848</v>
      </c>
      <c r="J354" s="25" t="s">
        <v>352</v>
      </c>
      <c r="K354" s="27">
        <v>5583220.3789999997</v>
      </c>
      <c r="L354" s="25">
        <v>207</v>
      </c>
      <c r="M354" s="27">
        <v>76.631794685990343</v>
      </c>
      <c r="N354" s="27">
        <v>84.859499999999997</v>
      </c>
      <c r="O354" s="27">
        <v>110.10649814750401</v>
      </c>
      <c r="P354" s="27">
        <v>5349.4059999999999</v>
      </c>
      <c r="Q354" s="27">
        <v>5254.2650000000003</v>
      </c>
      <c r="R354" s="27">
        <v>1107327.1230000001</v>
      </c>
      <c r="S354" s="27">
        <f t="shared" si="5"/>
        <v>0.19833125827612977</v>
      </c>
    </row>
    <row r="355" spans="1:19" x14ac:dyDescent="0.25">
      <c r="A355" s="19">
        <v>348</v>
      </c>
      <c r="B355" s="19" t="s">
        <v>382</v>
      </c>
      <c r="C355" s="19" t="s">
        <v>95</v>
      </c>
      <c r="D355" s="19" t="s">
        <v>1009</v>
      </c>
      <c r="E355" s="25" t="s">
        <v>718</v>
      </c>
      <c r="F355" s="25" t="s">
        <v>757</v>
      </c>
      <c r="G355" s="25" t="s">
        <v>97</v>
      </c>
      <c r="H355" s="26">
        <v>42261</v>
      </c>
      <c r="I355" s="25">
        <v>30256</v>
      </c>
      <c r="J355" s="25" t="s">
        <v>188</v>
      </c>
      <c r="K355" s="27">
        <v>6140900.1380000003</v>
      </c>
      <c r="L355" s="25">
        <v>65</v>
      </c>
      <c r="M355" s="27">
        <v>76.695899999999995</v>
      </c>
      <c r="N355" s="27">
        <v>81.463999999999999</v>
      </c>
      <c r="O355" s="27">
        <v>107.30104238618743</v>
      </c>
      <c r="P355" s="27">
        <v>5087.4290000000001</v>
      </c>
      <c r="Q355" s="27">
        <v>5032.5559999999996</v>
      </c>
      <c r="R355" s="27">
        <v>330682.86300000019</v>
      </c>
      <c r="S355" s="27">
        <f t="shared" si="5"/>
        <v>5.3849249388331313E-2</v>
      </c>
    </row>
    <row r="356" spans="1:19" x14ac:dyDescent="0.25">
      <c r="A356" s="19">
        <v>349</v>
      </c>
      <c r="B356" s="19" t="s">
        <v>382</v>
      </c>
      <c r="C356" s="19" t="s">
        <v>95</v>
      </c>
      <c r="D356" s="19" t="s">
        <v>1009</v>
      </c>
      <c r="E356" s="25" t="s">
        <v>718</v>
      </c>
      <c r="F356" s="25" t="s">
        <v>758</v>
      </c>
      <c r="G356" s="25" t="s">
        <v>97</v>
      </c>
      <c r="H356" s="26">
        <v>42262</v>
      </c>
      <c r="I356" s="25">
        <v>30343</v>
      </c>
      <c r="J356" s="25" t="s">
        <v>305</v>
      </c>
      <c r="K356" s="27">
        <v>4327589.4419999998</v>
      </c>
      <c r="L356" s="25">
        <v>192</v>
      </c>
      <c r="M356" s="27">
        <v>57.677421874999986</v>
      </c>
      <c r="N356" s="27">
        <v>60.725250000000003</v>
      </c>
      <c r="O356" s="27">
        <v>88.657717635482385</v>
      </c>
      <c r="P356" s="27">
        <v>3060.7759999999998</v>
      </c>
      <c r="Q356" s="27">
        <v>2783.9625000000001</v>
      </c>
      <c r="R356" s="27">
        <v>587669.01400000032</v>
      </c>
      <c r="S356" s="27">
        <f t="shared" si="5"/>
        <v>0.13579592562468415</v>
      </c>
    </row>
    <row r="357" spans="1:19" x14ac:dyDescent="0.25">
      <c r="A357" s="19">
        <v>350</v>
      </c>
      <c r="B357" s="19" t="s">
        <v>382</v>
      </c>
      <c r="C357" s="19" t="s">
        <v>95</v>
      </c>
      <c r="D357" s="19" t="s">
        <v>1009</v>
      </c>
      <c r="E357" s="25" t="s">
        <v>718</v>
      </c>
      <c r="F357" s="25" t="s">
        <v>759</v>
      </c>
      <c r="G357" s="25" t="s">
        <v>97</v>
      </c>
      <c r="H357" s="26">
        <v>42261</v>
      </c>
      <c r="I357" s="25">
        <v>30352</v>
      </c>
      <c r="J357" s="25" t="s">
        <v>339</v>
      </c>
      <c r="K357" s="27">
        <v>5956396.8820000002</v>
      </c>
      <c r="L357" s="25">
        <v>180</v>
      </c>
      <c r="M357" s="27">
        <v>62.709277777777778</v>
      </c>
      <c r="N357" s="27">
        <v>70.009749999999997</v>
      </c>
      <c r="O357" s="27">
        <v>89.336356528561879</v>
      </c>
      <c r="P357" s="27">
        <v>3532.0129999999999</v>
      </c>
      <c r="Q357" s="27">
        <v>3568.1109999999999</v>
      </c>
      <c r="R357" s="27">
        <v>635762.33000000031</v>
      </c>
      <c r="S357" s="27">
        <f t="shared" si="5"/>
        <v>0.10673605916376214</v>
      </c>
    </row>
    <row r="358" spans="1:19" x14ac:dyDescent="0.25">
      <c r="A358" s="19">
        <v>351</v>
      </c>
      <c r="B358" s="19" t="s">
        <v>382</v>
      </c>
      <c r="C358" s="19" t="s">
        <v>95</v>
      </c>
      <c r="D358" s="19" t="s">
        <v>1009</v>
      </c>
      <c r="E358" s="25" t="s">
        <v>718</v>
      </c>
      <c r="F358" s="25" t="s">
        <v>760</v>
      </c>
      <c r="G358" s="25" t="s">
        <v>97</v>
      </c>
      <c r="H358" s="26">
        <v>42254</v>
      </c>
      <c r="I358" s="25">
        <v>30409</v>
      </c>
      <c r="J358" s="25" t="s">
        <v>170</v>
      </c>
      <c r="K358" s="27">
        <v>5769357.7450000001</v>
      </c>
      <c r="L358" s="25">
        <v>185</v>
      </c>
      <c r="M358" s="27">
        <v>69.784321621621643</v>
      </c>
      <c r="N358" s="27">
        <v>69.525999999999996</v>
      </c>
      <c r="O358" s="27">
        <v>91.001830507516516</v>
      </c>
      <c r="P358" s="27">
        <v>4009.0839999999998</v>
      </c>
      <c r="Q358" s="27">
        <v>3666.83</v>
      </c>
      <c r="R358" s="27">
        <v>741680.55400000024</v>
      </c>
      <c r="S358" s="27">
        <f t="shared" si="5"/>
        <v>0.12855513330626375</v>
      </c>
    </row>
    <row r="359" spans="1:19" x14ac:dyDescent="0.25">
      <c r="A359" s="19">
        <v>352</v>
      </c>
      <c r="B359" s="19" t="s">
        <v>382</v>
      </c>
      <c r="C359" s="19" t="s">
        <v>95</v>
      </c>
      <c r="D359" s="19" t="s">
        <v>1009</v>
      </c>
      <c r="E359" s="25" t="s">
        <v>718</v>
      </c>
      <c r="F359" s="25" t="s">
        <v>761</v>
      </c>
      <c r="G359" s="25" t="s">
        <v>97</v>
      </c>
      <c r="H359" s="26">
        <v>42254</v>
      </c>
      <c r="I359" s="25">
        <v>30481</v>
      </c>
      <c r="J359" s="25" t="s">
        <v>212</v>
      </c>
      <c r="K359" s="27">
        <v>5368203.2249999996</v>
      </c>
      <c r="L359" s="25">
        <v>144</v>
      </c>
      <c r="M359" s="27">
        <v>73.324017361111103</v>
      </c>
      <c r="N359" s="27">
        <v>76.343999999999994</v>
      </c>
      <c r="O359" s="27">
        <v>94.096428820338261</v>
      </c>
      <c r="P359" s="27">
        <v>4479.2759999999998</v>
      </c>
      <c r="Q359" s="27">
        <v>4341.6414999999997</v>
      </c>
      <c r="R359" s="27">
        <v>645015.75300000026</v>
      </c>
      <c r="S359" s="27">
        <f t="shared" si="5"/>
        <v>0.12015486857802413</v>
      </c>
    </row>
    <row r="360" spans="1:19" x14ac:dyDescent="0.25">
      <c r="A360" s="19">
        <v>353</v>
      </c>
      <c r="B360" s="19" t="s">
        <v>382</v>
      </c>
      <c r="C360" s="19" t="s">
        <v>95</v>
      </c>
      <c r="D360" s="19" t="s">
        <v>1009</v>
      </c>
      <c r="E360" s="25" t="s">
        <v>718</v>
      </c>
      <c r="F360" s="25" t="s">
        <v>762</v>
      </c>
      <c r="G360" s="25" t="s">
        <v>96</v>
      </c>
      <c r="H360" s="26">
        <v>42261</v>
      </c>
      <c r="I360" s="25">
        <v>40056</v>
      </c>
      <c r="J360" s="25" t="s">
        <v>252</v>
      </c>
      <c r="K360" s="27">
        <v>7584549.4639999997</v>
      </c>
      <c r="L360" s="25">
        <v>92</v>
      </c>
      <c r="M360" s="27">
        <v>107.46324456521744</v>
      </c>
      <c r="N360" s="27">
        <v>107.64874999999999</v>
      </c>
      <c r="O360" s="27">
        <v>137.29034302683024</v>
      </c>
      <c r="P360" s="27">
        <v>9746.0550000000003</v>
      </c>
      <c r="Q360" s="27">
        <v>8935.6810000000005</v>
      </c>
      <c r="R360" s="27">
        <v>896637.02799999993</v>
      </c>
      <c r="S360" s="27">
        <f t="shared" si="5"/>
        <v>0.11821889121507877</v>
      </c>
    </row>
    <row r="361" spans="1:19" x14ac:dyDescent="0.25">
      <c r="A361" s="19">
        <v>354</v>
      </c>
      <c r="B361" s="19" t="s">
        <v>382</v>
      </c>
      <c r="C361" s="19" t="s">
        <v>95</v>
      </c>
      <c r="D361" s="19" t="s">
        <v>1009</v>
      </c>
      <c r="E361" s="25" t="s">
        <v>718</v>
      </c>
      <c r="F361" s="25" t="s">
        <v>763</v>
      </c>
      <c r="G361" s="25" t="s">
        <v>96</v>
      </c>
      <c r="H361" s="26">
        <v>42250</v>
      </c>
      <c r="I361" s="25">
        <v>40191</v>
      </c>
      <c r="J361" s="25" t="s">
        <v>317</v>
      </c>
      <c r="K361" s="27">
        <v>4265589.8619999997</v>
      </c>
      <c r="L361" s="25">
        <v>211</v>
      </c>
      <c r="M361" s="27">
        <v>41.443139810426565</v>
      </c>
      <c r="N361" s="27">
        <v>39.887999999999998</v>
      </c>
      <c r="O361" s="27">
        <v>62.934861269203843</v>
      </c>
      <c r="P361" s="27">
        <v>1471.425</v>
      </c>
      <c r="Q361" s="27">
        <v>1166.422</v>
      </c>
      <c r="R361" s="27">
        <v>310470.71799999999</v>
      </c>
      <c r="S361" s="27">
        <f t="shared" si="5"/>
        <v>7.2784943711027603E-2</v>
      </c>
    </row>
    <row r="362" spans="1:19" x14ac:dyDescent="0.25">
      <c r="A362" s="19">
        <v>355</v>
      </c>
      <c r="B362" s="19" t="s">
        <v>382</v>
      </c>
      <c r="C362" s="19" t="s">
        <v>95</v>
      </c>
      <c r="D362" s="19" t="s">
        <v>1009</v>
      </c>
      <c r="E362" s="25" t="s">
        <v>718</v>
      </c>
      <c r="F362" s="25" t="s">
        <v>765</v>
      </c>
      <c r="G362" s="25" t="s">
        <v>96</v>
      </c>
      <c r="H362" s="26">
        <v>42251</v>
      </c>
      <c r="I362" s="25">
        <v>40225</v>
      </c>
      <c r="J362" s="25" t="s">
        <v>225</v>
      </c>
      <c r="K362" s="27">
        <v>5274495.0870000003</v>
      </c>
      <c r="L362" s="25">
        <v>119</v>
      </c>
      <c r="M362" s="27">
        <v>58.593777310924345</v>
      </c>
      <c r="N362" s="27">
        <v>63.092500000000001</v>
      </c>
      <c r="O362" s="27">
        <v>73.819971394197509</v>
      </c>
      <c r="P362" s="27">
        <v>2826.5390000000002</v>
      </c>
      <c r="Q362" s="27">
        <v>2901.1179999999999</v>
      </c>
      <c r="R362" s="27">
        <v>336358.14299999992</v>
      </c>
      <c r="S362" s="27">
        <f t="shared" si="5"/>
        <v>6.3770680880719507E-2</v>
      </c>
    </row>
    <row r="363" spans="1:19" x14ac:dyDescent="0.25">
      <c r="A363" s="19">
        <v>356</v>
      </c>
      <c r="B363" s="19" t="s">
        <v>382</v>
      </c>
      <c r="C363" s="19" t="s">
        <v>95</v>
      </c>
      <c r="D363" s="19" t="s">
        <v>1009</v>
      </c>
      <c r="E363" s="25" t="s">
        <v>718</v>
      </c>
      <c r="F363" s="25" t="s">
        <v>766</v>
      </c>
      <c r="G363" s="25" t="s">
        <v>96</v>
      </c>
      <c r="H363" s="26">
        <v>42251</v>
      </c>
      <c r="I363" s="25">
        <v>40232</v>
      </c>
      <c r="J363" s="25" t="s">
        <v>135</v>
      </c>
      <c r="K363" s="27">
        <v>5360409.1109999996</v>
      </c>
      <c r="L363" s="25">
        <v>209</v>
      </c>
      <c r="M363" s="27">
        <v>58.457035885167528</v>
      </c>
      <c r="N363" s="27">
        <v>60.466999999999999</v>
      </c>
      <c r="O363" s="27">
        <v>73.225968223636258</v>
      </c>
      <c r="P363" s="27">
        <v>2752.5680000000002</v>
      </c>
      <c r="Q363" s="27">
        <v>2730.5189999999998</v>
      </c>
      <c r="R363" s="27">
        <v>575286.69899999979</v>
      </c>
      <c r="S363" s="27">
        <f t="shared" si="5"/>
        <v>0.10732141653506712</v>
      </c>
    </row>
    <row r="364" spans="1:19" x14ac:dyDescent="0.25">
      <c r="A364" s="19">
        <v>357</v>
      </c>
      <c r="B364" s="19" t="s">
        <v>382</v>
      </c>
      <c r="C364" s="19" t="s">
        <v>95</v>
      </c>
      <c r="D364" s="19" t="s">
        <v>1009</v>
      </c>
      <c r="E364" s="25" t="s">
        <v>718</v>
      </c>
      <c r="F364" s="25" t="s">
        <v>767</v>
      </c>
      <c r="G364" s="25" t="s">
        <v>96</v>
      </c>
      <c r="H364" s="26">
        <v>42250</v>
      </c>
      <c r="I364" s="25">
        <v>40273</v>
      </c>
      <c r="J364" s="25" t="s">
        <v>304</v>
      </c>
      <c r="K364" s="27">
        <v>6496239.352</v>
      </c>
      <c r="L364" s="25">
        <v>138</v>
      </c>
      <c r="M364" s="27">
        <v>66.275416666666672</v>
      </c>
      <c r="N364" s="27">
        <v>65.436250000000001</v>
      </c>
      <c r="O364" s="27">
        <v>105.97364265517949</v>
      </c>
      <c r="P364" s="27">
        <v>3974.768</v>
      </c>
      <c r="Q364" s="27">
        <v>3187.9390000000003</v>
      </c>
      <c r="R364" s="27">
        <v>548518.04599999997</v>
      </c>
      <c r="S364" s="27">
        <f t="shared" si="5"/>
        <v>8.4436243229111849E-2</v>
      </c>
    </row>
    <row r="365" spans="1:19" x14ac:dyDescent="0.25">
      <c r="A365" s="19">
        <v>358</v>
      </c>
      <c r="B365" s="19" t="s">
        <v>382</v>
      </c>
      <c r="C365" s="19" t="s">
        <v>95</v>
      </c>
      <c r="D365" s="19" t="s">
        <v>1009</v>
      </c>
      <c r="E365" s="25" t="s">
        <v>718</v>
      </c>
      <c r="F365" s="25" t="s">
        <v>768</v>
      </c>
      <c r="G365" s="25" t="s">
        <v>96</v>
      </c>
      <c r="H365" s="26">
        <v>42249</v>
      </c>
      <c r="I365" s="25">
        <v>40280</v>
      </c>
      <c r="J365" s="25" t="s">
        <v>170</v>
      </c>
      <c r="K365" s="27">
        <v>3370957.3149999999</v>
      </c>
      <c r="L365" s="25">
        <v>232</v>
      </c>
      <c r="M365" s="27">
        <v>53.95076724137926</v>
      </c>
      <c r="N365" s="27">
        <v>53.986750000000001</v>
      </c>
      <c r="O365" s="27">
        <v>68.363722656787729</v>
      </c>
      <c r="P365" s="27">
        <v>2325.0700000000002</v>
      </c>
      <c r="Q365" s="27">
        <v>2096.7820000000002</v>
      </c>
      <c r="R365" s="27">
        <v>538167.27899999963</v>
      </c>
      <c r="S365" s="27">
        <f t="shared" si="5"/>
        <v>0.15964820337690916</v>
      </c>
    </row>
    <row r="366" spans="1:19" x14ac:dyDescent="0.25">
      <c r="A366" s="19">
        <v>359</v>
      </c>
      <c r="B366" s="19" t="s">
        <v>382</v>
      </c>
      <c r="C366" s="19" t="s">
        <v>95</v>
      </c>
      <c r="D366" s="19" t="s">
        <v>1009</v>
      </c>
      <c r="E366" s="25" t="s">
        <v>718</v>
      </c>
      <c r="F366" s="25" t="s">
        <v>769</v>
      </c>
      <c r="G366" s="25" t="s">
        <v>96</v>
      </c>
      <c r="H366" s="26">
        <v>42249</v>
      </c>
      <c r="I366" s="25">
        <v>40287</v>
      </c>
      <c r="J366" s="25" t="s">
        <v>155</v>
      </c>
      <c r="K366" s="27">
        <v>3238365.1889999998</v>
      </c>
      <c r="L366" s="25">
        <v>401</v>
      </c>
      <c r="M366" s="27">
        <v>36.13548753117206</v>
      </c>
      <c r="N366" s="27">
        <v>37.110500000000002</v>
      </c>
      <c r="O366" s="27">
        <v>44.498762354713115</v>
      </c>
      <c r="P366" s="27">
        <v>1028.4069999999999</v>
      </c>
      <c r="Q366" s="27">
        <v>1014.026</v>
      </c>
      <c r="R366" s="27">
        <v>412391.19199999992</v>
      </c>
      <c r="S366" s="27">
        <f t="shared" si="5"/>
        <v>0.12734548697620648</v>
      </c>
    </row>
    <row r="367" spans="1:19" x14ac:dyDescent="0.25">
      <c r="A367" s="19">
        <v>360</v>
      </c>
      <c r="B367" s="19" t="s">
        <v>382</v>
      </c>
      <c r="C367" s="19" t="s">
        <v>95</v>
      </c>
      <c r="D367" s="19" t="s">
        <v>1009</v>
      </c>
      <c r="E367" s="25" t="s">
        <v>718</v>
      </c>
      <c r="F367" s="25" t="s">
        <v>770</v>
      </c>
      <c r="G367" s="25" t="s">
        <v>96</v>
      </c>
      <c r="H367" s="26">
        <v>42250</v>
      </c>
      <c r="I367" s="25">
        <v>40334</v>
      </c>
      <c r="J367" s="25" t="s">
        <v>191</v>
      </c>
      <c r="K367" s="27">
        <v>4212415.2259999998</v>
      </c>
      <c r="L367" s="25">
        <v>215</v>
      </c>
      <c r="M367" s="27">
        <v>65.591906976744184</v>
      </c>
      <c r="N367" s="27">
        <v>68.36</v>
      </c>
      <c r="O367" s="27">
        <v>80.743733635612315</v>
      </c>
      <c r="P367" s="27">
        <v>3533.2150000000001</v>
      </c>
      <c r="Q367" s="27">
        <v>3517.4679999999998</v>
      </c>
      <c r="R367" s="27">
        <v>759641.30199999968</v>
      </c>
      <c r="S367" s="27">
        <f t="shared" si="5"/>
        <v>0.18033390851673836</v>
      </c>
    </row>
    <row r="368" spans="1:19" x14ac:dyDescent="0.25">
      <c r="A368" s="19">
        <v>361</v>
      </c>
      <c r="B368" s="19" t="s">
        <v>382</v>
      </c>
      <c r="C368" s="19" t="s">
        <v>95</v>
      </c>
      <c r="D368" s="19" t="s">
        <v>1009</v>
      </c>
      <c r="E368" s="25" t="s">
        <v>718</v>
      </c>
      <c r="F368" s="25" t="s">
        <v>771</v>
      </c>
      <c r="G368" s="25" t="s">
        <v>96</v>
      </c>
      <c r="H368" s="26">
        <v>42250</v>
      </c>
      <c r="I368" s="25">
        <v>40339</v>
      </c>
      <c r="J368" s="25" t="s">
        <v>379</v>
      </c>
      <c r="K368" s="27">
        <v>3516419.0529999998</v>
      </c>
      <c r="L368" s="25">
        <v>314</v>
      </c>
      <c r="M368" s="27">
        <v>48.191410828025489</v>
      </c>
      <c r="N368" s="27">
        <v>49.950749999999999</v>
      </c>
      <c r="O368" s="27">
        <v>58.668655673541778</v>
      </c>
      <c r="P368" s="27">
        <v>1850.223</v>
      </c>
      <c r="Q368" s="27">
        <v>1845.9009999999998</v>
      </c>
      <c r="R368" s="27">
        <v>580970.15</v>
      </c>
      <c r="S368" s="27">
        <f t="shared" si="5"/>
        <v>0.16521641512104504</v>
      </c>
    </row>
    <row r="369" spans="1:19" x14ac:dyDescent="0.25">
      <c r="A369" s="19">
        <v>362</v>
      </c>
      <c r="B369" s="19" t="s">
        <v>382</v>
      </c>
      <c r="C369" s="19" t="s">
        <v>95</v>
      </c>
      <c r="D369" s="19" t="s">
        <v>1009</v>
      </c>
      <c r="E369" s="25" t="s">
        <v>718</v>
      </c>
      <c r="F369" s="25" t="s">
        <v>772</v>
      </c>
      <c r="G369" s="25" t="s">
        <v>96</v>
      </c>
      <c r="H369" s="26">
        <v>42249</v>
      </c>
      <c r="I369" s="25">
        <v>40343</v>
      </c>
      <c r="J369" s="25" t="s">
        <v>179</v>
      </c>
      <c r="K369" s="27">
        <v>3121655.1140000001</v>
      </c>
      <c r="L369" s="25">
        <v>536</v>
      </c>
      <c r="M369" s="27">
        <v>33.194300373134347</v>
      </c>
      <c r="N369" s="27">
        <v>34.348500000000001</v>
      </c>
      <c r="O369" s="27">
        <v>40.085366728999325</v>
      </c>
      <c r="P369" s="27">
        <v>863.04300000000001</v>
      </c>
      <c r="Q369" s="27">
        <v>868.048</v>
      </c>
      <c r="R369" s="27">
        <v>462590.95700000005</v>
      </c>
      <c r="S369" s="27">
        <f t="shared" si="5"/>
        <v>0.14818772097063893</v>
      </c>
    </row>
    <row r="370" spans="1:19" x14ac:dyDescent="0.25">
      <c r="A370" s="19">
        <v>363</v>
      </c>
      <c r="B370" s="19" t="s">
        <v>382</v>
      </c>
      <c r="C370" s="19" t="s">
        <v>95</v>
      </c>
      <c r="D370" s="19" t="s">
        <v>1009</v>
      </c>
      <c r="E370" s="25" t="s">
        <v>718</v>
      </c>
      <c r="F370" s="25" t="s">
        <v>773</v>
      </c>
      <c r="G370" s="25" t="s">
        <v>96</v>
      </c>
      <c r="H370" s="26">
        <v>42250</v>
      </c>
      <c r="I370" s="25">
        <v>40355</v>
      </c>
      <c r="J370" s="25" t="s">
        <v>179</v>
      </c>
      <c r="K370" s="27">
        <v>3537834.7220000001</v>
      </c>
      <c r="L370" s="25">
        <v>224</v>
      </c>
      <c r="M370" s="27">
        <v>50.222410714285751</v>
      </c>
      <c r="N370" s="27">
        <v>51.704750000000004</v>
      </c>
      <c r="O370" s="27">
        <v>65.896321037872625</v>
      </c>
      <c r="P370" s="27">
        <v>2111.5419999999999</v>
      </c>
      <c r="Q370" s="27">
        <v>2043.9214999999999</v>
      </c>
      <c r="R370" s="27">
        <v>472985.36800000007</v>
      </c>
      <c r="S370" s="27">
        <f t="shared" si="5"/>
        <v>0.13369346087841355</v>
      </c>
    </row>
    <row r="371" spans="1:19" x14ac:dyDescent="0.25">
      <c r="A371" s="19">
        <v>364</v>
      </c>
      <c r="B371" s="19" t="s">
        <v>382</v>
      </c>
      <c r="C371" s="19" t="s">
        <v>95</v>
      </c>
      <c r="D371" s="19" t="s">
        <v>1009</v>
      </c>
      <c r="E371" s="25" t="s">
        <v>718</v>
      </c>
      <c r="F371" s="25" t="s">
        <v>774</v>
      </c>
      <c r="G371" s="25" t="s">
        <v>96</v>
      </c>
      <c r="H371" s="26">
        <v>42249</v>
      </c>
      <c r="I371" s="25">
        <v>40360</v>
      </c>
      <c r="J371" s="25" t="s">
        <v>179</v>
      </c>
      <c r="K371" s="27">
        <v>3496700.74</v>
      </c>
      <c r="L371" s="25">
        <v>471</v>
      </c>
      <c r="M371" s="27">
        <v>36.940518046709151</v>
      </c>
      <c r="N371" s="27">
        <v>37.997999999999998</v>
      </c>
      <c r="O371" s="27">
        <v>44.741335330233561</v>
      </c>
      <c r="P371" s="27">
        <v>1075.761</v>
      </c>
      <c r="Q371" s="27">
        <v>1045.7650000000001</v>
      </c>
      <c r="R371" s="27">
        <v>506683.46799999964</v>
      </c>
      <c r="S371" s="27">
        <f t="shared" si="5"/>
        <v>0.14490329761533999</v>
      </c>
    </row>
    <row r="372" spans="1:19" x14ac:dyDescent="0.25">
      <c r="A372" s="19">
        <v>365</v>
      </c>
      <c r="B372" s="19" t="s">
        <v>382</v>
      </c>
      <c r="C372" s="19" t="s">
        <v>95</v>
      </c>
      <c r="D372" s="19" t="s">
        <v>1009</v>
      </c>
      <c r="E372" s="25" t="s">
        <v>718</v>
      </c>
      <c r="F372" s="25" t="s">
        <v>775</v>
      </c>
      <c r="G372" s="25" t="s">
        <v>96</v>
      </c>
      <c r="H372" s="26">
        <v>42250</v>
      </c>
      <c r="I372" s="25">
        <v>40367</v>
      </c>
      <c r="J372" s="25" t="s">
        <v>301</v>
      </c>
      <c r="K372" s="27">
        <v>5257259.9129999997</v>
      </c>
      <c r="L372" s="25">
        <v>146</v>
      </c>
      <c r="M372" s="27">
        <v>60.753630136986352</v>
      </c>
      <c r="N372" s="27">
        <v>57.842500000000001</v>
      </c>
      <c r="O372" s="27">
        <v>86.398689953798552</v>
      </c>
      <c r="P372" s="27">
        <v>3158.9760000000001</v>
      </c>
      <c r="Q372" s="27">
        <v>2459.1005</v>
      </c>
      <c r="R372" s="27">
        <v>461210.53700000042</v>
      </c>
      <c r="S372" s="27">
        <f t="shared" si="5"/>
        <v>8.7728311826381716E-2</v>
      </c>
    </row>
    <row r="373" spans="1:19" x14ac:dyDescent="0.25">
      <c r="A373" s="19">
        <v>366</v>
      </c>
      <c r="B373" s="19" t="s">
        <v>382</v>
      </c>
      <c r="C373" s="19" t="s">
        <v>95</v>
      </c>
      <c r="D373" s="19" t="s">
        <v>1009</v>
      </c>
      <c r="E373" s="25" t="s">
        <v>718</v>
      </c>
      <c r="F373" s="25" t="s">
        <v>776</v>
      </c>
      <c r="G373" s="25" t="s">
        <v>97</v>
      </c>
      <c r="H373" s="26">
        <v>42261</v>
      </c>
      <c r="I373" s="25">
        <v>40525</v>
      </c>
      <c r="J373" s="25" t="s">
        <v>134</v>
      </c>
      <c r="K373" s="27">
        <v>5430356.6009999998</v>
      </c>
      <c r="L373" s="25">
        <v>217</v>
      </c>
      <c r="M373" s="27">
        <v>54.599027649769624</v>
      </c>
      <c r="N373" s="27">
        <v>55.673000000000002</v>
      </c>
      <c r="O373" s="27">
        <v>68.84227944294021</v>
      </c>
      <c r="P373" s="27">
        <v>2440.5010000000002</v>
      </c>
      <c r="Q373" s="27">
        <v>2326.7750000000001</v>
      </c>
      <c r="R373" s="27">
        <v>529588.78699999989</v>
      </c>
      <c r="S373" s="27">
        <f t="shared" si="5"/>
        <v>9.7523758734827132E-2</v>
      </c>
    </row>
    <row r="374" spans="1:19" x14ac:dyDescent="0.25">
      <c r="A374" s="19">
        <v>367</v>
      </c>
      <c r="B374" s="19" t="s">
        <v>382</v>
      </c>
      <c r="C374" s="19" t="s">
        <v>95</v>
      </c>
      <c r="D374" s="19" t="s">
        <v>1009</v>
      </c>
      <c r="E374" s="25" t="s">
        <v>718</v>
      </c>
      <c r="F374" s="25" t="s">
        <v>777</v>
      </c>
      <c r="G374" s="25" t="s">
        <v>96</v>
      </c>
      <c r="H374" s="26">
        <v>42256</v>
      </c>
      <c r="I374" s="25">
        <v>40702</v>
      </c>
      <c r="J374" s="25" t="s">
        <v>379</v>
      </c>
      <c r="K374" s="27">
        <v>4791270.9749999996</v>
      </c>
      <c r="L374" s="25">
        <v>259</v>
      </c>
      <c r="M374" s="27">
        <v>71.989550193050263</v>
      </c>
      <c r="N374" s="27">
        <v>74.984999999999999</v>
      </c>
      <c r="O374" s="27">
        <v>84.628745132183596</v>
      </c>
      <c r="P374" s="27">
        <v>4164.5240000000003</v>
      </c>
      <c r="Q374" s="27">
        <v>4284.1139999999996</v>
      </c>
      <c r="R374" s="27">
        <v>1078611.6370000006</v>
      </c>
      <c r="S374" s="27">
        <f t="shared" si="5"/>
        <v>0.22512014925225568</v>
      </c>
    </row>
    <row r="375" spans="1:19" x14ac:dyDescent="0.25">
      <c r="A375" s="19">
        <v>368</v>
      </c>
      <c r="B375" s="19" t="s">
        <v>382</v>
      </c>
      <c r="C375" s="19" t="s">
        <v>95</v>
      </c>
      <c r="D375" s="19" t="s">
        <v>1009</v>
      </c>
      <c r="E375" s="25" t="s">
        <v>718</v>
      </c>
      <c r="F375" s="25" t="s">
        <v>778</v>
      </c>
      <c r="G375" s="25" t="s">
        <v>96</v>
      </c>
      <c r="H375" s="26">
        <v>42256</v>
      </c>
      <c r="I375" s="25">
        <v>40758</v>
      </c>
      <c r="J375" s="25" t="s">
        <v>505</v>
      </c>
      <c r="K375" s="27">
        <v>6218212.3269999996</v>
      </c>
      <c r="L375" s="25">
        <v>192</v>
      </c>
      <c r="M375" s="27">
        <v>54.548299479166694</v>
      </c>
      <c r="N375" s="27">
        <v>54.027000000000001</v>
      </c>
      <c r="O375" s="27">
        <v>76.8307158553325</v>
      </c>
      <c r="P375" s="27">
        <v>2545.2130000000002</v>
      </c>
      <c r="Q375" s="27">
        <v>2132.3720000000003</v>
      </c>
      <c r="R375" s="27">
        <v>488680.95400000003</v>
      </c>
      <c r="S375" s="27">
        <f t="shared" si="5"/>
        <v>7.8588656723429393E-2</v>
      </c>
    </row>
    <row r="376" spans="1:19" x14ac:dyDescent="0.25">
      <c r="A376" s="19">
        <v>369</v>
      </c>
      <c r="B376" s="19" t="s">
        <v>382</v>
      </c>
      <c r="C376" s="19" t="s">
        <v>95</v>
      </c>
      <c r="D376" s="19" t="s">
        <v>1009</v>
      </c>
      <c r="E376" s="25" t="s">
        <v>718</v>
      </c>
      <c r="F376" s="25" t="s">
        <v>779</v>
      </c>
      <c r="G376" s="25" t="s">
        <v>96</v>
      </c>
      <c r="H376" s="26">
        <v>42263</v>
      </c>
      <c r="I376" s="25">
        <v>40813</v>
      </c>
      <c r="J376" s="25" t="s">
        <v>138</v>
      </c>
      <c r="K376" s="27">
        <v>5713026.4419999998</v>
      </c>
      <c r="L376" s="25">
        <v>323</v>
      </c>
      <c r="M376" s="27">
        <v>67.225436532507686</v>
      </c>
      <c r="N376" s="27">
        <v>68.994500000000002</v>
      </c>
      <c r="O376" s="27">
        <v>81.608639713312428</v>
      </c>
      <c r="P376" s="27">
        <v>3596.16</v>
      </c>
      <c r="Q376" s="27">
        <v>3557.143</v>
      </c>
      <c r="R376" s="27">
        <v>1161559.6640000003</v>
      </c>
      <c r="S376" s="27">
        <f t="shared" si="5"/>
        <v>0.20331774687066997</v>
      </c>
    </row>
    <row r="377" spans="1:19" x14ac:dyDescent="0.25">
      <c r="A377" s="19">
        <v>370</v>
      </c>
      <c r="B377" s="19" t="s">
        <v>382</v>
      </c>
      <c r="C377" s="19" t="s">
        <v>95</v>
      </c>
      <c r="D377" s="19" t="s">
        <v>1009</v>
      </c>
      <c r="E377" s="25" t="s">
        <v>718</v>
      </c>
      <c r="F377" s="25" t="s">
        <v>780</v>
      </c>
      <c r="G377" s="25" t="s">
        <v>96</v>
      </c>
      <c r="H377" s="26">
        <v>42261</v>
      </c>
      <c r="I377" s="25">
        <v>40831</v>
      </c>
      <c r="J377" s="25" t="s">
        <v>300</v>
      </c>
      <c r="K377" s="27">
        <v>4590507.13</v>
      </c>
      <c r="L377" s="25">
        <v>172</v>
      </c>
      <c r="M377" s="27">
        <v>53.395133719999997</v>
      </c>
      <c r="N377" s="27">
        <v>53.159750000000003</v>
      </c>
      <c r="O377" s="27">
        <v>71.976740109999994</v>
      </c>
      <c r="P377" s="27">
        <v>2394.0129999999999</v>
      </c>
      <c r="Q377" s="27">
        <v>2178.3470000000002</v>
      </c>
      <c r="R377" s="27">
        <v>411770.17200000002</v>
      </c>
      <c r="S377" s="27">
        <f t="shared" si="5"/>
        <v>8.9700366503950954E-2</v>
      </c>
    </row>
    <row r="378" spans="1:19" x14ac:dyDescent="0.25">
      <c r="A378" s="19">
        <v>371</v>
      </c>
      <c r="B378" s="19" t="s">
        <v>382</v>
      </c>
      <c r="C378" s="19" t="s">
        <v>95</v>
      </c>
      <c r="D378" s="19" t="s">
        <v>1009</v>
      </c>
      <c r="E378" s="25" t="s">
        <v>718</v>
      </c>
      <c r="F378" s="25" t="s">
        <v>781</v>
      </c>
      <c r="G378" s="25" t="s">
        <v>96</v>
      </c>
      <c r="H378" s="26">
        <v>42258</v>
      </c>
      <c r="I378" s="25">
        <v>40845</v>
      </c>
      <c r="J378" s="25" t="s">
        <v>203</v>
      </c>
      <c r="K378" s="27">
        <v>6587103.7829999998</v>
      </c>
      <c r="L378" s="25">
        <v>144</v>
      </c>
      <c r="M378" s="27">
        <v>61.846690972222206</v>
      </c>
      <c r="N378" s="27">
        <v>64.801749999999998</v>
      </c>
      <c r="O378" s="27">
        <v>82.376529690777886</v>
      </c>
      <c r="P378" s="27">
        <v>3240.665</v>
      </c>
      <c r="Q378" s="27">
        <v>3171.7195000000002</v>
      </c>
      <c r="R378" s="27">
        <v>466655.69700000028</v>
      </c>
      <c r="S378" s="27">
        <f t="shared" si="5"/>
        <v>7.084383552667646E-2</v>
      </c>
    </row>
    <row r="379" spans="1:19" x14ac:dyDescent="0.25">
      <c r="A379" s="19">
        <v>372</v>
      </c>
      <c r="B379" s="19" t="s">
        <v>382</v>
      </c>
      <c r="C379" s="19" t="s">
        <v>95</v>
      </c>
      <c r="D379" s="19" t="s">
        <v>1009</v>
      </c>
      <c r="E379" s="25" t="s">
        <v>718</v>
      </c>
      <c r="F379" s="25" t="s">
        <v>782</v>
      </c>
      <c r="G379" s="25" t="s">
        <v>96</v>
      </c>
      <c r="H379" s="26">
        <v>42261</v>
      </c>
      <c r="I379" s="25">
        <v>40846</v>
      </c>
      <c r="J379" s="25" t="s">
        <v>304</v>
      </c>
      <c r="K379" s="27">
        <v>5731032.9299999997</v>
      </c>
      <c r="L379" s="25">
        <v>141</v>
      </c>
      <c r="M379" s="27">
        <v>66.708921985815635</v>
      </c>
      <c r="N379" s="27">
        <v>67.295000000000002</v>
      </c>
      <c r="O379" s="27">
        <v>94.502109143948942</v>
      </c>
      <c r="P379" s="27">
        <v>3905.6909999999998</v>
      </c>
      <c r="Q379" s="27">
        <v>3433.4520000000002</v>
      </c>
      <c r="R379" s="27">
        <v>550702.46800000034</v>
      </c>
      <c r="S379" s="27">
        <f t="shared" si="5"/>
        <v>9.6091311064932294E-2</v>
      </c>
    </row>
    <row r="380" spans="1:19" x14ac:dyDescent="0.25">
      <c r="A380" s="19">
        <v>373</v>
      </c>
      <c r="B380" s="19" t="s">
        <v>382</v>
      </c>
      <c r="C380" s="19" t="s">
        <v>95</v>
      </c>
      <c r="D380" s="19" t="s">
        <v>1009</v>
      </c>
      <c r="E380" s="25" t="s">
        <v>718</v>
      </c>
      <c r="F380" s="25" t="s">
        <v>783</v>
      </c>
      <c r="G380" s="25" t="s">
        <v>96</v>
      </c>
      <c r="H380" s="26">
        <v>42261</v>
      </c>
      <c r="I380" s="25">
        <v>40854</v>
      </c>
      <c r="J380" s="25" t="s">
        <v>175</v>
      </c>
      <c r="K380" s="27">
        <v>3713316.0630000001</v>
      </c>
      <c r="L380" s="25">
        <v>119</v>
      </c>
      <c r="M380" s="27">
        <v>62.546378151260512</v>
      </c>
      <c r="N380" s="27">
        <v>61.817500000000003</v>
      </c>
      <c r="O380" s="27">
        <v>86.897783321061581</v>
      </c>
      <c r="P380" s="27">
        <v>3281.355</v>
      </c>
      <c r="Q380" s="27">
        <v>2746.1550000000002</v>
      </c>
      <c r="R380" s="27">
        <v>390481.22100000014</v>
      </c>
      <c r="S380" s="27">
        <f t="shared" si="5"/>
        <v>0.10515701178545224</v>
      </c>
    </row>
    <row r="381" spans="1:19" x14ac:dyDescent="0.25">
      <c r="A381" s="19">
        <v>374</v>
      </c>
      <c r="B381" s="19" t="s">
        <v>382</v>
      </c>
      <c r="C381" s="19" t="s">
        <v>95</v>
      </c>
      <c r="D381" s="19" t="s">
        <v>1009</v>
      </c>
      <c r="E381" s="25" t="s">
        <v>718</v>
      </c>
      <c r="F381" s="25" t="s">
        <v>784</v>
      </c>
      <c r="G381" s="25" t="s">
        <v>96</v>
      </c>
      <c r="H381" s="26">
        <v>42256</v>
      </c>
      <c r="I381" s="25">
        <v>40868</v>
      </c>
      <c r="J381" s="25" t="s">
        <v>212</v>
      </c>
      <c r="K381" s="27">
        <v>5745434.199</v>
      </c>
      <c r="L381" s="25">
        <v>191</v>
      </c>
      <c r="M381" s="27">
        <v>68.123751308900538</v>
      </c>
      <c r="N381" s="27">
        <v>74.067499999999995</v>
      </c>
      <c r="O381" s="27">
        <v>108.62260137768455</v>
      </c>
      <c r="P381" s="27">
        <v>4481.652</v>
      </c>
      <c r="Q381" s="27">
        <v>3821.0929999999998</v>
      </c>
      <c r="R381" s="27">
        <v>855995.46999999951</v>
      </c>
      <c r="S381" s="27">
        <f t="shared" si="5"/>
        <v>0.14898708093271465</v>
      </c>
    </row>
    <row r="382" spans="1:19" x14ac:dyDescent="0.25">
      <c r="A382" s="19">
        <v>375</v>
      </c>
      <c r="B382" s="19" t="s">
        <v>382</v>
      </c>
      <c r="C382" s="19" t="s">
        <v>95</v>
      </c>
      <c r="D382" s="19" t="s">
        <v>1009</v>
      </c>
      <c r="E382" s="25" t="s">
        <v>718</v>
      </c>
      <c r="F382" s="25" t="s">
        <v>785</v>
      </c>
      <c r="G382" s="25" t="s">
        <v>97</v>
      </c>
      <c r="H382" s="26">
        <v>42258</v>
      </c>
      <c r="I382" s="25">
        <v>40875</v>
      </c>
      <c r="J382" s="25" t="s">
        <v>167</v>
      </c>
      <c r="K382" s="27">
        <v>5960910.1730000004</v>
      </c>
      <c r="L382" s="25">
        <v>201</v>
      </c>
      <c r="M382" s="27">
        <v>75.607902985074631</v>
      </c>
      <c r="N382" s="27">
        <v>76.134500000000003</v>
      </c>
      <c r="O382" s="27">
        <v>98.954098544218837</v>
      </c>
      <c r="P382" s="27">
        <v>4679.01</v>
      </c>
      <c r="Q382" s="27">
        <v>4249.8069999999998</v>
      </c>
      <c r="R382" s="27">
        <v>940480.99100000027</v>
      </c>
      <c r="S382" s="27">
        <f t="shared" si="5"/>
        <v>0.15777472964781752</v>
      </c>
    </row>
    <row r="383" spans="1:19" x14ac:dyDescent="0.25">
      <c r="A383" s="19">
        <v>376</v>
      </c>
      <c r="B383" s="19" t="s">
        <v>382</v>
      </c>
      <c r="C383" s="19" t="s">
        <v>95</v>
      </c>
      <c r="D383" s="19" t="s">
        <v>1009</v>
      </c>
      <c r="E383" s="25" t="s">
        <v>718</v>
      </c>
      <c r="F383" s="25" t="s">
        <v>786</v>
      </c>
      <c r="G383" s="25" t="s">
        <v>97</v>
      </c>
      <c r="H383" s="26">
        <v>42263</v>
      </c>
      <c r="I383" s="25">
        <v>40895</v>
      </c>
      <c r="J383" s="25" t="s">
        <v>304</v>
      </c>
      <c r="K383" s="27">
        <v>5217092.67</v>
      </c>
      <c r="L383" s="25">
        <v>139</v>
      </c>
      <c r="M383" s="27">
        <v>67.201736597742098</v>
      </c>
      <c r="N383" s="27">
        <v>69.33</v>
      </c>
      <c r="O383" s="27">
        <v>96.701230025758704</v>
      </c>
      <c r="P383" s="27">
        <v>4002.2020000000002</v>
      </c>
      <c r="Q383" s="27">
        <v>3784.991</v>
      </c>
      <c r="R383" s="27">
        <v>592874.37899999996</v>
      </c>
      <c r="S383" s="27">
        <f t="shared" si="5"/>
        <v>0.11364076057326387</v>
      </c>
    </row>
    <row r="384" spans="1:19" x14ac:dyDescent="0.25">
      <c r="A384" s="19">
        <v>377</v>
      </c>
      <c r="B384" s="19" t="s">
        <v>382</v>
      </c>
      <c r="C384" s="19" t="s">
        <v>95</v>
      </c>
      <c r="D384" s="19" t="s">
        <v>1009</v>
      </c>
      <c r="E384" s="25" t="s">
        <v>718</v>
      </c>
      <c r="F384" s="25" t="s">
        <v>787</v>
      </c>
      <c r="G384" s="25" t="s">
        <v>96</v>
      </c>
      <c r="H384" s="26">
        <v>42256</v>
      </c>
      <c r="I384" s="25">
        <v>40901</v>
      </c>
      <c r="J384" s="25" t="s">
        <v>245</v>
      </c>
      <c r="K384" s="27">
        <v>6644320.7539999997</v>
      </c>
      <c r="L384" s="25">
        <v>159</v>
      </c>
      <c r="M384" s="27">
        <v>61.23888993710694</v>
      </c>
      <c r="N384" s="27">
        <v>57.496500000000005</v>
      </c>
      <c r="O384" s="27">
        <v>93.252303794767357</v>
      </c>
      <c r="P384" s="27">
        <v>3258.8670000000002</v>
      </c>
      <c r="Q384" s="27">
        <v>2495.0410000000002</v>
      </c>
      <c r="R384" s="27">
        <v>518159.81799999991</v>
      </c>
      <c r="S384" s="27">
        <f t="shared" si="5"/>
        <v>7.798537084292001E-2</v>
      </c>
    </row>
    <row r="385" spans="1:19" x14ac:dyDescent="0.25">
      <c r="A385" s="19">
        <v>378</v>
      </c>
      <c r="B385" s="19" t="s">
        <v>382</v>
      </c>
      <c r="C385" s="19" t="s">
        <v>95</v>
      </c>
      <c r="D385" s="19" t="s">
        <v>1009</v>
      </c>
      <c r="E385" s="25" t="s">
        <v>718</v>
      </c>
      <c r="F385" s="25" t="s">
        <v>788</v>
      </c>
      <c r="G385" s="25" t="s">
        <v>96</v>
      </c>
      <c r="H385" s="26">
        <v>42256</v>
      </c>
      <c r="I385" s="25">
        <v>40912</v>
      </c>
      <c r="J385" s="25" t="s">
        <v>199</v>
      </c>
      <c r="K385" s="27">
        <v>4197405.307</v>
      </c>
      <c r="L385" s="25">
        <v>97</v>
      </c>
      <c r="M385" s="27">
        <v>52.640484536082475</v>
      </c>
      <c r="N385" s="27">
        <v>56.748000000000005</v>
      </c>
      <c r="O385" s="27">
        <v>77.117287044543858</v>
      </c>
      <c r="P385" s="27">
        <v>2480.17</v>
      </c>
      <c r="Q385" s="27">
        <v>2506.71</v>
      </c>
      <c r="R385" s="27">
        <v>240576.44200000004</v>
      </c>
      <c r="S385" s="27">
        <f t="shared" si="5"/>
        <v>5.7315513848231775E-2</v>
      </c>
    </row>
    <row r="386" spans="1:19" x14ac:dyDescent="0.25">
      <c r="A386" s="19">
        <v>379</v>
      </c>
      <c r="B386" s="19" t="s">
        <v>382</v>
      </c>
      <c r="C386" s="19" t="s">
        <v>95</v>
      </c>
      <c r="D386" s="19" t="s">
        <v>1009</v>
      </c>
      <c r="E386" s="25" t="s">
        <v>718</v>
      </c>
      <c r="F386" s="25" t="s">
        <v>789</v>
      </c>
      <c r="G386" s="25" t="s">
        <v>96</v>
      </c>
      <c r="H386" s="26">
        <v>42256</v>
      </c>
      <c r="I386" s="25">
        <v>40920</v>
      </c>
      <c r="J386" s="25" t="s">
        <v>364</v>
      </c>
      <c r="K386" s="27">
        <v>5376047.5159999998</v>
      </c>
      <c r="L386" s="25">
        <v>288</v>
      </c>
      <c r="M386" s="27">
        <v>60.434184027777796</v>
      </c>
      <c r="N386" s="27">
        <v>61.525999999999996</v>
      </c>
      <c r="O386" s="27">
        <v>76.246209046399215</v>
      </c>
      <c r="P386" s="27">
        <v>2934.6419999999998</v>
      </c>
      <c r="Q386" s="27">
        <v>2816.8684999999996</v>
      </c>
      <c r="R386" s="27">
        <v>845177.00800000085</v>
      </c>
      <c r="S386" s="27">
        <f t="shared" si="5"/>
        <v>0.15721159559780962</v>
      </c>
    </row>
    <row r="387" spans="1:19" x14ac:dyDescent="0.25">
      <c r="A387" s="19">
        <v>380</v>
      </c>
      <c r="B387" s="19" t="s">
        <v>382</v>
      </c>
      <c r="C387" s="19" t="s">
        <v>95</v>
      </c>
      <c r="D387" s="19" t="s">
        <v>1009</v>
      </c>
      <c r="E387" s="25" t="s">
        <v>718</v>
      </c>
      <c r="F387" s="25" t="s">
        <v>790</v>
      </c>
      <c r="G387" s="25" t="s">
        <v>96</v>
      </c>
      <c r="H387" s="26">
        <v>42256</v>
      </c>
      <c r="I387" s="25">
        <v>40924</v>
      </c>
      <c r="J387" s="25" t="s">
        <v>199</v>
      </c>
      <c r="K387" s="27">
        <v>5210659.0590000004</v>
      </c>
      <c r="L387" s="25">
        <v>192</v>
      </c>
      <c r="M387" s="27">
        <v>57.308359375000009</v>
      </c>
      <c r="N387" s="27">
        <v>60.608750000000001</v>
      </c>
      <c r="O387" s="27">
        <v>91.682627172819707</v>
      </c>
      <c r="P387" s="27">
        <v>2646.4589999999998</v>
      </c>
      <c r="Q387" s="27">
        <v>2698.1959999999999</v>
      </c>
      <c r="R387" s="27">
        <v>508120.14600000018</v>
      </c>
      <c r="S387" s="27">
        <f t="shared" si="5"/>
        <v>9.7515523515659772E-2</v>
      </c>
    </row>
    <row r="388" spans="1:19" x14ac:dyDescent="0.25">
      <c r="A388" s="19">
        <v>381</v>
      </c>
      <c r="B388" s="19" t="s">
        <v>382</v>
      </c>
      <c r="C388" s="19" t="s">
        <v>95</v>
      </c>
      <c r="D388" s="19" t="s">
        <v>1009</v>
      </c>
      <c r="E388" s="25" t="s">
        <v>718</v>
      </c>
      <c r="F388" s="25" t="s">
        <v>791</v>
      </c>
      <c r="G388" s="25" t="s">
        <v>96</v>
      </c>
      <c r="H388" s="26">
        <v>42256</v>
      </c>
      <c r="I388" s="25">
        <v>40930</v>
      </c>
      <c r="J388" s="25" t="s">
        <v>200</v>
      </c>
      <c r="K388" s="27">
        <v>8415668.2770000007</v>
      </c>
      <c r="L388" s="25">
        <v>180</v>
      </c>
      <c r="M388" s="27">
        <v>76.892969444444432</v>
      </c>
      <c r="N388" s="27">
        <v>81.185749999999999</v>
      </c>
      <c r="O388" s="27">
        <v>114.20361394460285</v>
      </c>
      <c r="P388" s="27">
        <v>5300.48</v>
      </c>
      <c r="Q388" s="27">
        <v>5082.8490000000002</v>
      </c>
      <c r="R388" s="27">
        <v>954086.44499999972</v>
      </c>
      <c r="S388" s="27">
        <f t="shared" si="5"/>
        <v>0.11337025338885034</v>
      </c>
    </row>
    <row r="389" spans="1:19" x14ac:dyDescent="0.25">
      <c r="A389" s="19">
        <v>382</v>
      </c>
      <c r="B389" s="19" t="s">
        <v>382</v>
      </c>
      <c r="C389" s="19" t="s">
        <v>95</v>
      </c>
      <c r="D389" s="19" t="s">
        <v>1009</v>
      </c>
      <c r="E389" s="25" t="s">
        <v>718</v>
      </c>
      <c r="F389" s="25" t="s">
        <v>792</v>
      </c>
      <c r="G389" s="25" t="s">
        <v>96</v>
      </c>
      <c r="H389" s="26">
        <v>42258</v>
      </c>
      <c r="I389" s="25">
        <v>40935</v>
      </c>
      <c r="J389" s="25" t="s">
        <v>135</v>
      </c>
      <c r="K389" s="27">
        <v>5142419.8930000002</v>
      </c>
      <c r="L389" s="25">
        <v>146</v>
      </c>
      <c r="M389" s="27">
        <v>59.371674657534228</v>
      </c>
      <c r="N389" s="27">
        <v>60.709499999999998</v>
      </c>
      <c r="O389" s="27">
        <v>81.386672252453693</v>
      </c>
      <c r="P389" s="27">
        <v>2986.52</v>
      </c>
      <c r="Q389" s="27">
        <v>2700.5299999999997</v>
      </c>
      <c r="R389" s="27">
        <v>436031.86999999988</v>
      </c>
      <c r="S389" s="27">
        <f t="shared" si="5"/>
        <v>8.4791183736967521E-2</v>
      </c>
    </row>
    <row r="390" spans="1:19" x14ac:dyDescent="0.25">
      <c r="A390" s="19">
        <v>383</v>
      </c>
      <c r="B390" s="19" t="s">
        <v>382</v>
      </c>
      <c r="C390" s="19" t="s">
        <v>95</v>
      </c>
      <c r="D390" s="19" t="s">
        <v>1009</v>
      </c>
      <c r="E390" s="25" t="s">
        <v>718</v>
      </c>
      <c r="F390" s="25" t="s">
        <v>793</v>
      </c>
      <c r="G390" s="25" t="s">
        <v>97</v>
      </c>
      <c r="H390" s="26">
        <v>42254</v>
      </c>
      <c r="I390" s="25">
        <v>50189</v>
      </c>
      <c r="J390" s="25" t="s">
        <v>263</v>
      </c>
      <c r="K390" s="27">
        <v>5000080.9819999998</v>
      </c>
      <c r="L390" s="25">
        <v>238</v>
      </c>
      <c r="M390" s="27">
        <v>54.655960084033616</v>
      </c>
      <c r="N390" s="27">
        <v>54.195250000000001</v>
      </c>
      <c r="O390" s="27">
        <v>74.280551450886435</v>
      </c>
      <c r="P390" s="27">
        <v>2433.5039999999999</v>
      </c>
      <c r="Q390" s="27">
        <v>2156.0594999999998</v>
      </c>
      <c r="R390" s="27">
        <v>579173.8459999992</v>
      </c>
      <c r="S390" s="27">
        <f t="shared" si="5"/>
        <v>0.11583289312412964</v>
      </c>
    </row>
    <row r="391" spans="1:19" x14ac:dyDescent="0.25">
      <c r="A391" s="19">
        <v>384</v>
      </c>
      <c r="B391" s="19" t="s">
        <v>382</v>
      </c>
      <c r="C391" s="19" t="s">
        <v>95</v>
      </c>
      <c r="D391" s="19" t="s">
        <v>1009</v>
      </c>
      <c r="E391" s="25" t="s">
        <v>718</v>
      </c>
      <c r="F391" s="25" t="s">
        <v>794</v>
      </c>
      <c r="G391" s="25" t="s">
        <v>97</v>
      </c>
      <c r="H391" s="26">
        <v>42251</v>
      </c>
      <c r="I391" s="25">
        <v>50223</v>
      </c>
      <c r="J391" s="25" t="s">
        <v>608</v>
      </c>
      <c r="K391" s="27">
        <v>5061457.91</v>
      </c>
      <c r="L391" s="25">
        <v>300</v>
      </c>
      <c r="M391" s="27">
        <v>72.759713333333366</v>
      </c>
      <c r="N391" s="27">
        <v>75.669749999999993</v>
      </c>
      <c r="O391" s="27">
        <v>90.046166332457233</v>
      </c>
      <c r="P391" s="27">
        <v>4231.0379999999996</v>
      </c>
      <c r="Q391" s="27">
        <v>4205.6990000000005</v>
      </c>
      <c r="R391" s="27">
        <v>1269311.3070000012</v>
      </c>
      <c r="S391" s="27">
        <f t="shared" si="5"/>
        <v>0.25077978115597943</v>
      </c>
    </row>
    <row r="392" spans="1:19" x14ac:dyDescent="0.25">
      <c r="A392" s="19">
        <v>385</v>
      </c>
      <c r="B392" s="19" t="s">
        <v>382</v>
      </c>
      <c r="C392" s="19" t="s">
        <v>95</v>
      </c>
      <c r="D392" s="19" t="s">
        <v>1009</v>
      </c>
      <c r="E392" s="25" t="s">
        <v>718</v>
      </c>
      <c r="F392" s="25" t="s">
        <v>795</v>
      </c>
      <c r="G392" s="25" t="s">
        <v>97</v>
      </c>
      <c r="H392" s="26">
        <v>42251</v>
      </c>
      <c r="I392" s="25">
        <v>50357</v>
      </c>
      <c r="J392" s="25" t="s">
        <v>264</v>
      </c>
      <c r="K392" s="27">
        <v>6126856.1689999998</v>
      </c>
      <c r="L392" s="25">
        <v>237</v>
      </c>
      <c r="M392" s="27">
        <v>65.463352320675085</v>
      </c>
      <c r="N392" s="27">
        <v>68.492499999999993</v>
      </c>
      <c r="O392" s="27">
        <v>94.671208812001652</v>
      </c>
      <c r="P392" s="27">
        <v>3792.3510000000001</v>
      </c>
      <c r="Q392" s="27">
        <v>3483.1619999999998</v>
      </c>
      <c r="R392" s="27">
        <v>898787.14199999964</v>
      </c>
      <c r="S392" s="27">
        <f t="shared" ref="S392:S455" si="6">R392/K392</f>
        <v>0.14669630185666591</v>
      </c>
    </row>
    <row r="393" spans="1:19" x14ac:dyDescent="0.25">
      <c r="A393" s="19">
        <v>386</v>
      </c>
      <c r="B393" s="19" t="s">
        <v>382</v>
      </c>
      <c r="C393" s="19" t="s">
        <v>95</v>
      </c>
      <c r="D393" s="19" t="s">
        <v>1009</v>
      </c>
      <c r="E393" s="25" t="s">
        <v>718</v>
      </c>
      <c r="F393" s="25" t="s">
        <v>796</v>
      </c>
      <c r="G393" s="25" t="s">
        <v>96</v>
      </c>
      <c r="H393" s="26">
        <v>42250</v>
      </c>
      <c r="I393" s="25">
        <v>50494</v>
      </c>
      <c r="J393" s="25" t="s">
        <v>168</v>
      </c>
      <c r="K393" s="27">
        <v>6049090.9939999999</v>
      </c>
      <c r="L393" s="25">
        <v>163</v>
      </c>
      <c r="M393" s="27">
        <v>84.31994171779138</v>
      </c>
      <c r="N393" s="27">
        <v>85.796999999999997</v>
      </c>
      <c r="O393" s="27">
        <v>111.642588297442</v>
      </c>
      <c r="P393" s="27">
        <v>5888.0259999999998</v>
      </c>
      <c r="Q393" s="27">
        <v>5382.6229999999996</v>
      </c>
      <c r="R393" s="27">
        <v>959748.18900000048</v>
      </c>
      <c r="S393" s="27">
        <f t="shared" si="6"/>
        <v>0.15865990277745201</v>
      </c>
    </row>
    <row r="394" spans="1:19" x14ac:dyDescent="0.25">
      <c r="A394" s="19">
        <v>387</v>
      </c>
      <c r="B394" s="19" t="s">
        <v>61</v>
      </c>
      <c r="C394" s="19" t="s">
        <v>98</v>
      </c>
      <c r="D394" s="19" t="s">
        <v>108</v>
      </c>
      <c r="E394" s="25" t="s">
        <v>109</v>
      </c>
      <c r="F394" s="25" t="s">
        <v>901</v>
      </c>
      <c r="G394" s="25" t="s">
        <v>97</v>
      </c>
      <c r="H394" s="26">
        <v>42333</v>
      </c>
      <c r="I394" s="25">
        <v>5</v>
      </c>
      <c r="J394" s="25" t="s">
        <v>330</v>
      </c>
      <c r="K394" s="27">
        <v>5680044.5750000002</v>
      </c>
      <c r="L394" s="25">
        <v>102</v>
      </c>
      <c r="M394" s="27">
        <v>78.788730392156864</v>
      </c>
      <c r="N394" s="27">
        <v>78.507499999999993</v>
      </c>
      <c r="O394" s="27">
        <v>111.87821742504133</v>
      </c>
      <c r="P394" s="27">
        <v>5248.8490000000002</v>
      </c>
      <c r="Q394" s="27">
        <v>4374.8979999999992</v>
      </c>
      <c r="R394" s="27">
        <v>535382.62999999989</v>
      </c>
      <c r="S394" s="27">
        <f t="shared" si="6"/>
        <v>9.4256765581808816E-2</v>
      </c>
    </row>
    <row r="395" spans="1:19" x14ac:dyDescent="0.25">
      <c r="A395" s="19">
        <v>388</v>
      </c>
      <c r="B395" s="19" t="s">
        <v>61</v>
      </c>
      <c r="C395" s="19" t="s">
        <v>98</v>
      </c>
      <c r="D395" s="19" t="s">
        <v>108</v>
      </c>
      <c r="E395" s="25" t="s">
        <v>109</v>
      </c>
      <c r="F395" s="25" t="s">
        <v>811</v>
      </c>
      <c r="G395" s="25" t="s">
        <v>97</v>
      </c>
      <c r="H395" s="26">
        <v>42333</v>
      </c>
      <c r="I395" s="25">
        <v>15</v>
      </c>
      <c r="J395" s="25" t="s">
        <v>148</v>
      </c>
      <c r="K395" s="27">
        <v>4116029.3119999999</v>
      </c>
      <c r="L395" s="25">
        <v>58</v>
      </c>
      <c r="M395" s="27">
        <v>94.110068965517257</v>
      </c>
      <c r="N395" s="27">
        <v>98.231250000000003</v>
      </c>
      <c r="O395" s="27">
        <v>118.47342033532274</v>
      </c>
      <c r="P395" s="27">
        <v>7360.5429999999997</v>
      </c>
      <c r="Q395" s="27">
        <v>7311.2559999999994</v>
      </c>
      <c r="R395" s="27">
        <v>426911.47899999993</v>
      </c>
      <c r="S395" s="27">
        <f t="shared" si="6"/>
        <v>0.10371925140459251</v>
      </c>
    </row>
    <row r="396" spans="1:19" x14ac:dyDescent="0.25">
      <c r="A396" s="19">
        <v>389</v>
      </c>
      <c r="B396" s="19" t="s">
        <v>61</v>
      </c>
      <c r="C396" s="19" t="s">
        <v>98</v>
      </c>
      <c r="D396" s="19" t="s">
        <v>108</v>
      </c>
      <c r="E396" s="25" t="s">
        <v>109</v>
      </c>
      <c r="F396" s="25" t="s">
        <v>841</v>
      </c>
      <c r="G396" s="25" t="s">
        <v>97</v>
      </c>
      <c r="H396" s="26">
        <v>42336</v>
      </c>
      <c r="I396" s="25">
        <v>30</v>
      </c>
      <c r="J396" s="25" t="s">
        <v>332</v>
      </c>
      <c r="K396" s="27">
        <v>4185647.273</v>
      </c>
      <c r="L396" s="25">
        <v>190</v>
      </c>
      <c r="M396" s="27">
        <v>48.157800000000002</v>
      </c>
      <c r="N396" s="27">
        <v>40.04025</v>
      </c>
      <c r="O396" s="27">
        <v>93.063559269999999</v>
      </c>
      <c r="P396" s="27">
        <v>2215.328</v>
      </c>
      <c r="Q396" s="27">
        <v>1149.1514999999999</v>
      </c>
      <c r="R396" s="27">
        <v>420912.27799999999</v>
      </c>
      <c r="S396" s="27">
        <f t="shared" si="6"/>
        <v>0.1005608572693507</v>
      </c>
    </row>
    <row r="397" spans="1:19" x14ac:dyDescent="0.25">
      <c r="A397" s="19">
        <v>390</v>
      </c>
      <c r="B397" s="19" t="s">
        <v>61</v>
      </c>
      <c r="C397" s="19" t="s">
        <v>98</v>
      </c>
      <c r="D397" s="19" t="s">
        <v>108</v>
      </c>
      <c r="E397" s="25" t="s">
        <v>109</v>
      </c>
      <c r="F397" s="25" t="s">
        <v>842</v>
      </c>
      <c r="G397" s="25" t="s">
        <v>97</v>
      </c>
      <c r="H397" s="26">
        <v>42322</v>
      </c>
      <c r="I397" s="25">
        <v>31</v>
      </c>
      <c r="J397" s="32" t="s">
        <v>1015</v>
      </c>
      <c r="K397" s="27">
        <v>4066674.835</v>
      </c>
      <c r="L397" s="25">
        <v>154</v>
      </c>
      <c r="M397" s="27">
        <v>57.53802597402597</v>
      </c>
      <c r="N397" s="27">
        <v>60.722000000000001</v>
      </c>
      <c r="O397" s="27">
        <v>70.085279586946072</v>
      </c>
      <c r="P397" s="27">
        <v>2688.2179999999998</v>
      </c>
      <c r="Q397" s="27">
        <v>2817.2190000000001</v>
      </c>
      <c r="R397" s="27">
        <v>413985.62699999986</v>
      </c>
      <c r="S397" s="27">
        <f t="shared" si="6"/>
        <v>0.10179953986903895</v>
      </c>
    </row>
    <row r="398" spans="1:19" x14ac:dyDescent="0.25">
      <c r="A398" s="19">
        <v>391</v>
      </c>
      <c r="B398" s="19" t="s">
        <v>61</v>
      </c>
      <c r="C398" s="19" t="s">
        <v>98</v>
      </c>
      <c r="D398" s="19" t="s">
        <v>108</v>
      </c>
      <c r="E398" s="25" t="s">
        <v>109</v>
      </c>
      <c r="F398" s="25" t="s">
        <v>843</v>
      </c>
      <c r="G398" s="25" t="s">
        <v>97</v>
      </c>
      <c r="H398" s="26">
        <v>42322</v>
      </c>
      <c r="I398" s="25">
        <v>32</v>
      </c>
      <c r="J398" s="25" t="s">
        <v>243</v>
      </c>
      <c r="K398" s="27">
        <v>5346427.2209999999</v>
      </c>
      <c r="L398" s="25">
        <v>117</v>
      </c>
      <c r="M398" s="27">
        <v>63.251611111111089</v>
      </c>
      <c r="N398" s="27">
        <v>64.180499999999995</v>
      </c>
      <c r="O398" s="27">
        <v>83.13133474918196</v>
      </c>
      <c r="P398" s="27">
        <v>3267.3470000000002</v>
      </c>
      <c r="Q398" s="27">
        <v>3041.8449999999998</v>
      </c>
      <c r="R398" s="27">
        <v>382279.63100000011</v>
      </c>
      <c r="S398" s="27">
        <f t="shared" si="6"/>
        <v>7.1501886250028901E-2</v>
      </c>
    </row>
    <row r="399" spans="1:19" x14ac:dyDescent="0.25">
      <c r="A399" s="19">
        <v>392</v>
      </c>
      <c r="B399" s="19" t="s">
        <v>61</v>
      </c>
      <c r="C399" s="19" t="s">
        <v>98</v>
      </c>
      <c r="D399" s="19" t="s">
        <v>108</v>
      </c>
      <c r="E399" s="25" t="s">
        <v>109</v>
      </c>
      <c r="F399" s="25" t="s">
        <v>844</v>
      </c>
      <c r="G399" s="25" t="s">
        <v>97</v>
      </c>
      <c r="H399" s="26">
        <v>42322</v>
      </c>
      <c r="I399" s="25">
        <v>33</v>
      </c>
      <c r="J399" s="25" t="s">
        <v>340</v>
      </c>
      <c r="K399" s="27">
        <v>5092944.76</v>
      </c>
      <c r="L399" s="25">
        <v>110</v>
      </c>
      <c r="M399" s="27">
        <v>76.008454545454555</v>
      </c>
      <c r="N399" s="27">
        <v>71.575249999999997</v>
      </c>
      <c r="O399" s="27">
        <v>117.82840527566266</v>
      </c>
      <c r="P399" s="27">
        <v>5119.5780000000004</v>
      </c>
      <c r="Q399" s="27">
        <v>3768.1154999999999</v>
      </c>
      <c r="R399" s="27">
        <v>563153.63499999978</v>
      </c>
      <c r="S399" s="27">
        <f t="shared" si="6"/>
        <v>0.11057524900387881</v>
      </c>
    </row>
    <row r="400" spans="1:19" x14ac:dyDescent="0.25">
      <c r="A400" s="19">
        <v>393</v>
      </c>
      <c r="B400" s="19" t="s">
        <v>61</v>
      </c>
      <c r="C400" s="19" t="s">
        <v>98</v>
      </c>
      <c r="D400" s="19" t="s">
        <v>108</v>
      </c>
      <c r="E400" s="25" t="s">
        <v>109</v>
      </c>
      <c r="F400" s="25" t="s">
        <v>845</v>
      </c>
      <c r="G400" s="25" t="s">
        <v>97</v>
      </c>
      <c r="H400" s="26">
        <v>42319</v>
      </c>
      <c r="I400" s="25">
        <v>34</v>
      </c>
      <c r="J400" s="25" t="s">
        <v>340</v>
      </c>
      <c r="K400" s="27">
        <v>4511794.2079999996</v>
      </c>
      <c r="L400" s="25">
        <v>140</v>
      </c>
      <c r="M400" s="27">
        <v>62.93906071</v>
      </c>
      <c r="N400" s="27">
        <v>67.795500000000004</v>
      </c>
      <c r="O400" s="27">
        <v>85.941122059999998</v>
      </c>
      <c r="P400" s="27">
        <v>3443.6179999999999</v>
      </c>
      <c r="Q400" s="27">
        <v>3545.94</v>
      </c>
      <c r="R400" s="27">
        <v>482106.46899999998</v>
      </c>
      <c r="S400" s="27">
        <f t="shared" si="6"/>
        <v>0.10685471162340746</v>
      </c>
    </row>
    <row r="401" spans="1:19" x14ac:dyDescent="0.25">
      <c r="A401" s="19">
        <v>394</v>
      </c>
      <c r="B401" s="19" t="s">
        <v>61</v>
      </c>
      <c r="C401" s="19" t="s">
        <v>98</v>
      </c>
      <c r="D401" s="19" t="s">
        <v>108</v>
      </c>
      <c r="E401" s="25" t="s">
        <v>109</v>
      </c>
      <c r="F401" s="25" t="s">
        <v>110</v>
      </c>
      <c r="G401" s="25" t="s">
        <v>97</v>
      </c>
      <c r="H401" s="26">
        <v>42331</v>
      </c>
      <c r="I401" s="25">
        <v>42</v>
      </c>
      <c r="J401" s="25" t="s">
        <v>50</v>
      </c>
      <c r="K401" s="27">
        <v>4170314.6669999999</v>
      </c>
      <c r="L401" s="25">
        <v>100</v>
      </c>
      <c r="M401" s="27">
        <v>92.98911499999997</v>
      </c>
      <c r="N401" s="27">
        <v>97.568250000000006</v>
      </c>
      <c r="O401" s="27">
        <v>118.75379497788515</v>
      </c>
      <c r="P401" s="27">
        <v>7055.3590000000004</v>
      </c>
      <c r="Q401" s="27">
        <v>6760.2219999999998</v>
      </c>
      <c r="R401" s="27">
        <v>705535.88800000015</v>
      </c>
      <c r="S401" s="27">
        <f t="shared" si="6"/>
        <v>0.16918049220193296</v>
      </c>
    </row>
    <row r="402" spans="1:19" x14ac:dyDescent="0.25">
      <c r="A402" s="19">
        <v>395</v>
      </c>
      <c r="B402" s="19" t="s">
        <v>61</v>
      </c>
      <c r="C402" s="19" t="s">
        <v>98</v>
      </c>
      <c r="D402" s="19" t="s">
        <v>108</v>
      </c>
      <c r="E402" s="25" t="s">
        <v>109</v>
      </c>
      <c r="F402" s="25" t="s">
        <v>875</v>
      </c>
      <c r="G402" s="25" t="s">
        <v>97</v>
      </c>
      <c r="H402" s="26">
        <v>42318</v>
      </c>
      <c r="I402" s="25">
        <v>44</v>
      </c>
      <c r="J402" s="25" t="s">
        <v>340</v>
      </c>
      <c r="K402" s="27">
        <v>3958202.0580000002</v>
      </c>
      <c r="L402" s="25">
        <v>172</v>
      </c>
      <c r="M402" s="27">
        <v>63.956261627906983</v>
      </c>
      <c r="N402" s="27">
        <v>66.593250000000012</v>
      </c>
      <c r="O402" s="27">
        <v>95.673496753218402</v>
      </c>
      <c r="P402" s="27">
        <v>3687.0619999999999</v>
      </c>
      <c r="Q402" s="27">
        <v>3241.1489999999999</v>
      </c>
      <c r="R402" s="27">
        <v>634174.66300000029</v>
      </c>
      <c r="S402" s="27">
        <f t="shared" si="6"/>
        <v>0.16021785995443497</v>
      </c>
    </row>
    <row r="403" spans="1:19" x14ac:dyDescent="0.25">
      <c r="A403" s="19">
        <v>396</v>
      </c>
      <c r="B403" s="19" t="s">
        <v>61</v>
      </c>
      <c r="C403" s="19" t="s">
        <v>98</v>
      </c>
      <c r="D403" s="19" t="s">
        <v>108</v>
      </c>
      <c r="E403" s="25" t="s">
        <v>109</v>
      </c>
      <c r="F403" s="25" t="s">
        <v>877</v>
      </c>
      <c r="G403" s="25" t="s">
        <v>97</v>
      </c>
      <c r="H403" s="26">
        <v>42318</v>
      </c>
      <c r="I403" s="25">
        <v>45</v>
      </c>
      <c r="J403" s="25" t="s">
        <v>133</v>
      </c>
      <c r="K403" s="27">
        <v>4063909.0759999999</v>
      </c>
      <c r="L403" s="25">
        <v>146</v>
      </c>
      <c r="M403" s="27">
        <v>54.420174657534247</v>
      </c>
      <c r="N403" s="27">
        <v>57.265999999999998</v>
      </c>
      <c r="O403" s="27">
        <v>75.984151050802069</v>
      </c>
      <c r="P403" s="27">
        <v>2525.0540000000001</v>
      </c>
      <c r="Q403" s="27">
        <v>2445.5645</v>
      </c>
      <c r="R403" s="27">
        <v>368657.84700000007</v>
      </c>
      <c r="S403" s="27">
        <f t="shared" si="6"/>
        <v>9.07150824749407E-2</v>
      </c>
    </row>
    <row r="404" spans="1:19" x14ac:dyDescent="0.25">
      <c r="A404" s="19">
        <v>397</v>
      </c>
      <c r="B404" s="19" t="s">
        <v>61</v>
      </c>
      <c r="C404" s="19" t="s">
        <v>98</v>
      </c>
      <c r="D404" s="19" t="s">
        <v>108</v>
      </c>
      <c r="E404" s="25" t="s">
        <v>109</v>
      </c>
      <c r="F404" s="25" t="s">
        <v>879</v>
      </c>
      <c r="G404" s="25" t="s">
        <v>97</v>
      </c>
      <c r="H404" s="26">
        <v>42318</v>
      </c>
      <c r="I404" s="25">
        <v>47</v>
      </c>
      <c r="J404" s="25" t="s">
        <v>340</v>
      </c>
      <c r="K404" s="27">
        <v>5749960.3260000004</v>
      </c>
      <c r="L404" s="25">
        <v>86</v>
      </c>
      <c r="M404" s="27">
        <v>103.46316860465117</v>
      </c>
      <c r="N404" s="27">
        <v>112.86949999999999</v>
      </c>
      <c r="O404" s="27">
        <v>143.37297038959667</v>
      </c>
      <c r="P404" s="27">
        <v>9397.7909999999993</v>
      </c>
      <c r="Q404" s="27">
        <v>9474.0830000000005</v>
      </c>
      <c r="R404" s="27">
        <v>808209.99000000046</v>
      </c>
      <c r="S404" s="27">
        <f t="shared" si="6"/>
        <v>0.14055922896466963</v>
      </c>
    </row>
    <row r="405" spans="1:19" x14ac:dyDescent="0.25">
      <c r="A405" s="19">
        <v>398</v>
      </c>
      <c r="B405" s="19" t="s">
        <v>61</v>
      </c>
      <c r="C405" s="19" t="s">
        <v>98</v>
      </c>
      <c r="D405" s="19" t="s">
        <v>108</v>
      </c>
      <c r="E405" s="25" t="s">
        <v>109</v>
      </c>
      <c r="F405" s="25" t="s">
        <v>887</v>
      </c>
      <c r="G405" s="25" t="s">
        <v>96</v>
      </c>
      <c r="H405" s="26">
        <v>42318</v>
      </c>
      <c r="I405" s="25">
        <v>49</v>
      </c>
      <c r="J405" s="25" t="s">
        <v>194</v>
      </c>
      <c r="K405" s="27">
        <v>4637944.8760000002</v>
      </c>
      <c r="L405" s="25">
        <v>105</v>
      </c>
      <c r="M405" s="27">
        <v>50.002933333333317</v>
      </c>
      <c r="N405" s="27">
        <v>46.060499999999998</v>
      </c>
      <c r="O405" s="27">
        <v>79.829092988295571</v>
      </c>
      <c r="P405" s="27">
        <v>2296.201</v>
      </c>
      <c r="Q405" s="27">
        <v>1571.799</v>
      </c>
      <c r="R405" s="27">
        <v>241101.07700000008</v>
      </c>
      <c r="S405" s="27">
        <f t="shared" si="6"/>
        <v>5.1984463689430029E-2</v>
      </c>
    </row>
    <row r="406" spans="1:19" x14ac:dyDescent="0.25">
      <c r="A406" s="19">
        <v>399</v>
      </c>
      <c r="B406" s="19" t="s">
        <v>61</v>
      </c>
      <c r="C406" s="19" t="s">
        <v>98</v>
      </c>
      <c r="D406" s="19" t="s">
        <v>108</v>
      </c>
      <c r="E406" s="25" t="s">
        <v>109</v>
      </c>
      <c r="F406" s="25" t="s">
        <v>889</v>
      </c>
      <c r="G406" s="25" t="s">
        <v>97</v>
      </c>
      <c r="H406" s="26">
        <v>42318</v>
      </c>
      <c r="I406" s="25">
        <v>50</v>
      </c>
      <c r="J406" s="25" t="s">
        <v>500</v>
      </c>
      <c r="K406" s="27">
        <v>3596219</v>
      </c>
      <c r="L406" s="25">
        <v>213</v>
      </c>
      <c r="M406" s="27">
        <v>40.07236150234742</v>
      </c>
      <c r="N406" s="27">
        <v>35.438000000000002</v>
      </c>
      <c r="O406" s="27">
        <v>74.311549707077432</v>
      </c>
      <c r="P406" s="27">
        <v>1616.4690000000001</v>
      </c>
      <c r="Q406" s="27">
        <v>928.55600000000004</v>
      </c>
      <c r="R406" s="27">
        <v>344308.00499999977</v>
      </c>
      <c r="S406" s="27">
        <f t="shared" si="6"/>
        <v>9.5741667846146128E-2</v>
      </c>
    </row>
    <row r="407" spans="1:19" x14ac:dyDescent="0.25">
      <c r="A407" s="19">
        <v>400</v>
      </c>
      <c r="B407" s="19" t="s">
        <v>61</v>
      </c>
      <c r="C407" s="19" t="s">
        <v>98</v>
      </c>
      <c r="D407" s="19" t="s">
        <v>108</v>
      </c>
      <c r="E407" s="25" t="s">
        <v>109</v>
      </c>
      <c r="F407" s="25" t="s">
        <v>891</v>
      </c>
      <c r="G407" s="25" t="s">
        <v>96</v>
      </c>
      <c r="H407" s="26">
        <v>42318</v>
      </c>
      <c r="I407" s="25">
        <v>51</v>
      </c>
      <c r="J407" s="25" t="s">
        <v>340</v>
      </c>
      <c r="K407" s="27">
        <v>2328756.7969999998</v>
      </c>
      <c r="L407" s="25">
        <v>140</v>
      </c>
      <c r="M407" s="27">
        <v>45.255549999999985</v>
      </c>
      <c r="N407" s="27">
        <v>41.307000000000002</v>
      </c>
      <c r="O407" s="27">
        <v>79.344625878807221</v>
      </c>
      <c r="P407" s="27">
        <v>2037.826</v>
      </c>
      <c r="Q407" s="27">
        <v>1287.895</v>
      </c>
      <c r="R407" s="27">
        <v>285295.57600000006</v>
      </c>
      <c r="S407" s="27">
        <f t="shared" si="6"/>
        <v>0.12250981998958824</v>
      </c>
    </row>
    <row r="408" spans="1:19" x14ac:dyDescent="0.25">
      <c r="A408" s="19">
        <v>401</v>
      </c>
      <c r="B408" s="19" t="s">
        <v>61</v>
      </c>
      <c r="C408" s="19" t="s">
        <v>98</v>
      </c>
      <c r="D408" s="19" t="s">
        <v>108</v>
      </c>
      <c r="E408" s="25" t="s">
        <v>109</v>
      </c>
      <c r="F408" s="25" t="s">
        <v>895</v>
      </c>
      <c r="G408" s="25" t="s">
        <v>96</v>
      </c>
      <c r="H408" s="26">
        <v>42318</v>
      </c>
      <c r="I408" s="25">
        <v>52</v>
      </c>
      <c r="J408" s="25" t="s">
        <v>231</v>
      </c>
      <c r="K408" s="27">
        <v>4598443.3710000003</v>
      </c>
      <c r="L408" s="25">
        <v>81</v>
      </c>
      <c r="M408" s="27">
        <v>75.994148148148184</v>
      </c>
      <c r="N408" s="27">
        <v>75.42</v>
      </c>
      <c r="O408" s="27">
        <v>117.81887531805913</v>
      </c>
      <c r="P408" s="27">
        <v>5138.8090000000002</v>
      </c>
      <c r="Q408" s="27">
        <v>4348.0590000000002</v>
      </c>
      <c r="R408" s="27">
        <v>416243.55100000009</v>
      </c>
      <c r="S408" s="27">
        <f t="shared" si="6"/>
        <v>9.0518359674717858E-2</v>
      </c>
    </row>
    <row r="409" spans="1:19" x14ac:dyDescent="0.25">
      <c r="A409" s="19">
        <v>402</v>
      </c>
      <c r="B409" s="19" t="s">
        <v>61</v>
      </c>
      <c r="C409" s="19" t="s">
        <v>98</v>
      </c>
      <c r="D409" s="19" t="s">
        <v>108</v>
      </c>
      <c r="E409" s="25" t="s">
        <v>109</v>
      </c>
      <c r="F409" s="25" t="s">
        <v>904</v>
      </c>
      <c r="G409" s="25" t="s">
        <v>97</v>
      </c>
      <c r="H409" s="26">
        <v>42329</v>
      </c>
      <c r="I409" s="25">
        <v>81</v>
      </c>
      <c r="J409" s="25" t="s">
        <v>347</v>
      </c>
      <c r="K409" s="27">
        <v>3356727.0019999999</v>
      </c>
      <c r="L409" s="25">
        <v>90</v>
      </c>
      <c r="M409" s="27">
        <v>72.956933333333339</v>
      </c>
      <c r="N409" s="27">
        <v>81.40925</v>
      </c>
      <c r="O409" s="27">
        <v>100.80722301145477</v>
      </c>
      <c r="P409" s="27">
        <v>4737.121900000001</v>
      </c>
      <c r="Q409" s="27">
        <v>5025.0470000000005</v>
      </c>
      <c r="R409" s="27">
        <v>426340.97100000008</v>
      </c>
      <c r="S409" s="27">
        <f t="shared" si="6"/>
        <v>0.12701091591481173</v>
      </c>
    </row>
    <row r="410" spans="1:19" x14ac:dyDescent="0.25">
      <c r="A410" s="19">
        <v>403</v>
      </c>
      <c r="B410" s="19" t="s">
        <v>61</v>
      </c>
      <c r="C410" s="19" t="s">
        <v>98</v>
      </c>
      <c r="D410" s="19" t="s">
        <v>108</v>
      </c>
      <c r="E410" s="25" t="s">
        <v>109</v>
      </c>
      <c r="F410" s="25" t="s">
        <v>905</v>
      </c>
      <c r="G410" s="25" t="s">
        <v>97</v>
      </c>
      <c r="H410" s="26">
        <v>42331</v>
      </c>
      <c r="I410" s="25">
        <v>84</v>
      </c>
      <c r="J410" s="25" t="s">
        <v>310</v>
      </c>
      <c r="K410" s="27">
        <v>3443995.6860000002</v>
      </c>
      <c r="L410" s="25">
        <v>228</v>
      </c>
      <c r="M410" s="27">
        <v>44.712572368421071</v>
      </c>
      <c r="N410" s="27">
        <v>44.137500000000003</v>
      </c>
      <c r="O410" s="27">
        <v>63.339981653277079</v>
      </c>
      <c r="P410" s="27">
        <v>1720.8074342105256</v>
      </c>
      <c r="Q410" s="27">
        <v>1425.1595</v>
      </c>
      <c r="R410" s="27">
        <v>392344.09499999986</v>
      </c>
      <c r="S410" s="27">
        <f t="shared" si="6"/>
        <v>0.1139211923507618</v>
      </c>
    </row>
    <row r="411" spans="1:19" x14ac:dyDescent="0.25">
      <c r="A411" s="19">
        <v>404</v>
      </c>
      <c r="B411" s="19" t="s">
        <v>61</v>
      </c>
      <c r="C411" s="19" t="s">
        <v>98</v>
      </c>
      <c r="D411" s="19" t="s">
        <v>108</v>
      </c>
      <c r="E411" s="25" t="s">
        <v>109</v>
      </c>
      <c r="F411" s="25" t="s">
        <v>906</v>
      </c>
      <c r="G411" s="25" t="s">
        <v>97</v>
      </c>
      <c r="H411" s="26">
        <v>42329</v>
      </c>
      <c r="I411" s="25">
        <v>96</v>
      </c>
      <c r="J411" s="25" t="s">
        <v>248</v>
      </c>
      <c r="K411" s="27">
        <v>5454754.3700000001</v>
      </c>
      <c r="L411" s="25">
        <v>218</v>
      </c>
      <c r="M411" s="27">
        <v>75.451688073394521</v>
      </c>
      <c r="N411" s="27">
        <v>77.770749999999992</v>
      </c>
      <c r="O411" s="27">
        <v>89.572299345527782</v>
      </c>
      <c r="P411" s="27">
        <v>4533.0249999999996</v>
      </c>
      <c r="Q411" s="27">
        <v>4458.9134999999997</v>
      </c>
      <c r="R411" s="27">
        <v>988199.4879999999</v>
      </c>
      <c r="S411" s="27">
        <f t="shared" si="6"/>
        <v>0.18116296738032586</v>
      </c>
    </row>
    <row r="412" spans="1:19" x14ac:dyDescent="0.25">
      <c r="A412" s="19">
        <v>405</v>
      </c>
      <c r="B412" s="19" t="s">
        <v>61</v>
      </c>
      <c r="C412" s="19" t="s">
        <v>98</v>
      </c>
      <c r="D412" s="19" t="s">
        <v>108</v>
      </c>
      <c r="E412" s="25" t="s">
        <v>109</v>
      </c>
      <c r="F412" s="25" t="s">
        <v>798</v>
      </c>
      <c r="G412" s="25" t="s">
        <v>97</v>
      </c>
      <c r="H412" s="26">
        <v>42331</v>
      </c>
      <c r="I412" s="25">
        <v>114</v>
      </c>
      <c r="J412" s="25" t="s">
        <v>321</v>
      </c>
      <c r="K412" s="27">
        <v>2905454.477</v>
      </c>
      <c r="L412" s="25">
        <v>125</v>
      </c>
      <c r="M412" s="27">
        <v>60.511883999999988</v>
      </c>
      <c r="N412" s="27">
        <v>63.192</v>
      </c>
      <c r="O412" s="27">
        <v>77.159954662633268</v>
      </c>
      <c r="P412" s="27">
        <v>3005.1900959999984</v>
      </c>
      <c r="Q412" s="27">
        <v>3046.1179999999999</v>
      </c>
      <c r="R412" s="27">
        <v>375648.76199999981</v>
      </c>
      <c r="S412" s="27">
        <f t="shared" si="6"/>
        <v>0.12929087857809854</v>
      </c>
    </row>
    <row r="413" spans="1:19" x14ac:dyDescent="0.25">
      <c r="A413" s="19">
        <v>406</v>
      </c>
      <c r="B413" s="19" t="s">
        <v>61</v>
      </c>
      <c r="C413" s="19" t="s">
        <v>98</v>
      </c>
      <c r="D413" s="19" t="s">
        <v>108</v>
      </c>
      <c r="E413" s="25" t="s">
        <v>109</v>
      </c>
      <c r="F413" s="25" t="s">
        <v>803</v>
      </c>
      <c r="G413" s="25" t="s">
        <v>97</v>
      </c>
      <c r="H413" s="26">
        <v>42332</v>
      </c>
      <c r="I413" s="25">
        <v>125</v>
      </c>
      <c r="J413" s="25" t="s">
        <v>337</v>
      </c>
      <c r="K413" s="27">
        <v>5061125.3470000001</v>
      </c>
      <c r="L413" s="25">
        <v>127</v>
      </c>
      <c r="M413" s="27">
        <v>76.921874015747989</v>
      </c>
      <c r="N413" s="27">
        <v>82.346499999999992</v>
      </c>
      <c r="O413" s="27">
        <v>96.412238725025375</v>
      </c>
      <c r="P413" s="27">
        <v>4935.9949999999999</v>
      </c>
      <c r="Q413" s="27">
        <v>5036.0569999999998</v>
      </c>
      <c r="R413" s="27">
        <v>626871.34200000006</v>
      </c>
      <c r="S413" s="27">
        <f t="shared" si="6"/>
        <v>0.1238600704429461</v>
      </c>
    </row>
    <row r="414" spans="1:19" x14ac:dyDescent="0.25">
      <c r="A414" s="19">
        <v>407</v>
      </c>
      <c r="B414" s="19" t="s">
        <v>61</v>
      </c>
      <c r="C414" s="19" t="s">
        <v>98</v>
      </c>
      <c r="D414" s="19" t="s">
        <v>108</v>
      </c>
      <c r="E414" s="25" t="s">
        <v>109</v>
      </c>
      <c r="F414" s="25" t="s">
        <v>804</v>
      </c>
      <c r="G414" s="25" t="s">
        <v>97</v>
      </c>
      <c r="H414" s="26">
        <v>42331</v>
      </c>
      <c r="I414" s="25">
        <v>136</v>
      </c>
      <c r="J414" s="25" t="s">
        <v>257</v>
      </c>
      <c r="K414" s="27">
        <v>3067865.2110000001</v>
      </c>
      <c r="L414" s="25">
        <v>109</v>
      </c>
      <c r="M414" s="27">
        <v>63.7605871559633</v>
      </c>
      <c r="N414" s="27">
        <v>64.984499999999997</v>
      </c>
      <c r="O414" s="27">
        <v>86.832743330023106</v>
      </c>
      <c r="P414" s="27">
        <v>3456.5397889908263</v>
      </c>
      <c r="Q414" s="27">
        <v>3140.078</v>
      </c>
      <c r="R414" s="27">
        <v>376762.83700000006</v>
      </c>
      <c r="S414" s="27">
        <f t="shared" si="6"/>
        <v>0.12280944927081415</v>
      </c>
    </row>
    <row r="415" spans="1:19" x14ac:dyDescent="0.25">
      <c r="A415" s="19">
        <v>408</v>
      </c>
      <c r="B415" s="19" t="s">
        <v>61</v>
      </c>
      <c r="C415" s="19" t="s">
        <v>98</v>
      </c>
      <c r="D415" s="19" t="s">
        <v>108</v>
      </c>
      <c r="E415" s="25" t="s">
        <v>109</v>
      </c>
      <c r="F415" s="25" t="s">
        <v>805</v>
      </c>
      <c r="G415" s="25" t="s">
        <v>97</v>
      </c>
      <c r="H415" s="26">
        <v>42320</v>
      </c>
      <c r="I415" s="25">
        <v>149</v>
      </c>
      <c r="J415" s="25" t="s">
        <v>230</v>
      </c>
      <c r="K415" s="27">
        <v>3937240.889</v>
      </c>
      <c r="L415" s="25">
        <v>153</v>
      </c>
      <c r="M415" s="27">
        <v>63.928990196078409</v>
      </c>
      <c r="N415" s="27">
        <v>64.706999999999994</v>
      </c>
      <c r="O415" s="27">
        <v>90.591838719998492</v>
      </c>
      <c r="P415" s="27">
        <v>3434.4684183006525</v>
      </c>
      <c r="Q415" s="27">
        <v>3054</v>
      </c>
      <c r="R415" s="27">
        <v>525473.66799999983</v>
      </c>
      <c r="S415" s="27">
        <f t="shared" si="6"/>
        <v>0.13346241259154001</v>
      </c>
    </row>
    <row r="416" spans="1:19" x14ac:dyDescent="0.25">
      <c r="A416" s="19">
        <v>409</v>
      </c>
      <c r="B416" s="19" t="s">
        <v>61</v>
      </c>
      <c r="C416" s="19" t="s">
        <v>98</v>
      </c>
      <c r="D416" s="19" t="s">
        <v>108</v>
      </c>
      <c r="E416" s="25" t="s">
        <v>109</v>
      </c>
      <c r="F416" s="25" t="s">
        <v>807</v>
      </c>
      <c r="G416" s="25" t="s">
        <v>96</v>
      </c>
      <c r="H416" s="26">
        <v>42319</v>
      </c>
      <c r="I416" s="25">
        <v>151</v>
      </c>
      <c r="J416" s="25" t="s">
        <v>299</v>
      </c>
      <c r="K416" s="27">
        <v>3677743.0049999999</v>
      </c>
      <c r="L416" s="25">
        <v>217</v>
      </c>
      <c r="M416" s="27">
        <v>60.588149769585229</v>
      </c>
      <c r="N416" s="27">
        <v>61.820000000000007</v>
      </c>
      <c r="O416" s="27">
        <v>72.515326106737035</v>
      </c>
      <c r="P416" s="27">
        <v>2886.1149999999998</v>
      </c>
      <c r="Q416" s="27">
        <v>2848.1410000000001</v>
      </c>
      <c r="R416" s="27">
        <v>626286.96499999962</v>
      </c>
      <c r="S416" s="27">
        <f t="shared" si="6"/>
        <v>0.17029111717391457</v>
      </c>
    </row>
    <row r="417" spans="1:19" x14ac:dyDescent="0.25">
      <c r="A417" s="19">
        <v>410</v>
      </c>
      <c r="B417" s="19" t="s">
        <v>61</v>
      </c>
      <c r="C417" s="19" t="s">
        <v>98</v>
      </c>
      <c r="D417" s="19" t="s">
        <v>108</v>
      </c>
      <c r="E417" s="25" t="s">
        <v>109</v>
      </c>
      <c r="F417" s="25" t="s">
        <v>806</v>
      </c>
      <c r="G417" s="25" t="s">
        <v>97</v>
      </c>
      <c r="H417" s="26">
        <v>42320</v>
      </c>
      <c r="I417" s="25">
        <v>151</v>
      </c>
      <c r="J417" s="25" t="s">
        <v>299</v>
      </c>
      <c r="K417" s="27">
        <v>4981917</v>
      </c>
      <c r="L417" s="25">
        <v>272</v>
      </c>
      <c r="M417" s="27">
        <v>64.687091911764711</v>
      </c>
      <c r="N417" s="27">
        <v>66.747000000000014</v>
      </c>
      <c r="O417" s="27">
        <v>79.356891812813117</v>
      </c>
      <c r="P417" s="27">
        <v>3350.2809999999999</v>
      </c>
      <c r="Q417" s="27">
        <v>3416.299</v>
      </c>
      <c r="R417" s="27">
        <v>911276.34400000074</v>
      </c>
      <c r="S417" s="27">
        <f t="shared" si="6"/>
        <v>0.18291680571956553</v>
      </c>
    </row>
    <row r="418" spans="1:19" x14ac:dyDescent="0.25">
      <c r="A418" s="19">
        <v>411</v>
      </c>
      <c r="B418" s="19" t="s">
        <v>61</v>
      </c>
      <c r="C418" s="19" t="s">
        <v>98</v>
      </c>
      <c r="D418" s="19" t="s">
        <v>108</v>
      </c>
      <c r="E418" s="25" t="s">
        <v>109</v>
      </c>
      <c r="F418" s="25" t="s">
        <v>808</v>
      </c>
      <c r="G418" s="25" t="s">
        <v>96</v>
      </c>
      <c r="H418" s="26">
        <v>42319</v>
      </c>
      <c r="I418" s="25">
        <v>156</v>
      </c>
      <c r="J418" s="25" t="s">
        <v>169</v>
      </c>
      <c r="K418" s="27">
        <v>4044105.58</v>
      </c>
      <c r="L418" s="25">
        <v>159</v>
      </c>
      <c r="M418" s="27">
        <v>68.960462264150948</v>
      </c>
      <c r="N418" s="27">
        <v>70.075500000000005</v>
      </c>
      <c r="O418" s="27">
        <v>89.612594434610372</v>
      </c>
      <c r="P418" s="27">
        <v>3984.3510000000001</v>
      </c>
      <c r="Q418" s="27">
        <v>3673.8310000000001</v>
      </c>
      <c r="R418" s="27">
        <v>633511.87000000011</v>
      </c>
      <c r="S418" s="27">
        <f t="shared" si="6"/>
        <v>0.15665067527737495</v>
      </c>
    </row>
    <row r="419" spans="1:19" x14ac:dyDescent="0.25">
      <c r="A419" s="19">
        <v>412</v>
      </c>
      <c r="B419" s="19" t="s">
        <v>61</v>
      </c>
      <c r="C419" s="19" t="s">
        <v>98</v>
      </c>
      <c r="D419" s="19" t="s">
        <v>108</v>
      </c>
      <c r="E419" s="25" t="s">
        <v>109</v>
      </c>
      <c r="F419" s="25" t="s">
        <v>809</v>
      </c>
      <c r="G419" s="25" t="s">
        <v>97</v>
      </c>
      <c r="H419" s="26">
        <v>42319</v>
      </c>
      <c r="I419" s="25">
        <v>157</v>
      </c>
      <c r="J419" s="25" t="s">
        <v>608</v>
      </c>
      <c r="K419" s="27">
        <v>4893189.5729999999</v>
      </c>
      <c r="L419" s="25">
        <v>219</v>
      </c>
      <c r="M419" s="27">
        <v>64.049831050228306</v>
      </c>
      <c r="N419" s="27">
        <v>68.59</v>
      </c>
      <c r="O419" s="27">
        <v>81.239760783915145</v>
      </c>
      <c r="P419" s="27">
        <v>3448.2930000000001</v>
      </c>
      <c r="Q419" s="27">
        <v>3584.4479999999999</v>
      </c>
      <c r="R419" s="27">
        <v>755176.08000000077</v>
      </c>
      <c r="S419" s="27">
        <f t="shared" si="6"/>
        <v>0.15433207087805603</v>
      </c>
    </row>
    <row r="420" spans="1:19" x14ac:dyDescent="0.25">
      <c r="A420" s="19">
        <v>413</v>
      </c>
      <c r="B420" s="19" t="s">
        <v>61</v>
      </c>
      <c r="C420" s="19" t="s">
        <v>98</v>
      </c>
      <c r="D420" s="19" t="s">
        <v>108</v>
      </c>
      <c r="E420" s="25" t="s">
        <v>109</v>
      </c>
      <c r="F420" s="25" t="s">
        <v>810</v>
      </c>
      <c r="G420" s="25" t="s">
        <v>96</v>
      </c>
      <c r="H420" s="26">
        <v>42317</v>
      </c>
      <c r="I420" s="25">
        <v>158</v>
      </c>
      <c r="J420" s="25" t="s">
        <v>159</v>
      </c>
      <c r="K420" s="27">
        <v>4078975.9389999998</v>
      </c>
      <c r="L420" s="25">
        <v>266</v>
      </c>
      <c r="M420" s="27">
        <v>33.520821428571431</v>
      </c>
      <c r="N420" s="27">
        <v>33.006500000000003</v>
      </c>
      <c r="O420" s="27">
        <v>44.527620684549653</v>
      </c>
      <c r="P420" s="27">
        <v>905.61199999999997</v>
      </c>
      <c r="Q420" s="27">
        <v>803.75250000000005</v>
      </c>
      <c r="R420" s="27">
        <v>240892.65800000011</v>
      </c>
      <c r="S420" s="27">
        <f t="shared" si="6"/>
        <v>5.9057141204676304E-2</v>
      </c>
    </row>
    <row r="421" spans="1:19" x14ac:dyDescent="0.25">
      <c r="A421" s="19">
        <v>414</v>
      </c>
      <c r="B421" s="19" t="s">
        <v>61</v>
      </c>
      <c r="C421" s="19" t="s">
        <v>98</v>
      </c>
      <c r="D421" s="19" t="s">
        <v>108</v>
      </c>
      <c r="E421" s="25" t="s">
        <v>109</v>
      </c>
      <c r="F421" s="25" t="s">
        <v>812</v>
      </c>
      <c r="G421" s="25" t="s">
        <v>97</v>
      </c>
      <c r="H421" s="26">
        <v>42319</v>
      </c>
      <c r="I421" s="25">
        <v>160</v>
      </c>
      <c r="J421" s="25" t="s">
        <v>256</v>
      </c>
      <c r="K421" s="27">
        <v>3869761.2549999999</v>
      </c>
      <c r="L421" s="25">
        <v>172</v>
      </c>
      <c r="M421" s="27">
        <v>57.976866279069782</v>
      </c>
      <c r="N421" s="27">
        <v>58.717500000000001</v>
      </c>
      <c r="O421" s="27">
        <v>78.962561881990439</v>
      </c>
      <c r="P421" s="27">
        <v>2848.0810000000001</v>
      </c>
      <c r="Q421" s="27">
        <v>2614.7635</v>
      </c>
      <c r="R421" s="27">
        <v>489870.00899999985</v>
      </c>
      <c r="S421" s="27">
        <f t="shared" si="6"/>
        <v>0.12658920711634442</v>
      </c>
    </row>
    <row r="422" spans="1:19" x14ac:dyDescent="0.25">
      <c r="A422" s="19">
        <v>415</v>
      </c>
      <c r="B422" s="19" t="s">
        <v>61</v>
      </c>
      <c r="C422" s="19" t="s">
        <v>98</v>
      </c>
      <c r="D422" s="19" t="s">
        <v>108</v>
      </c>
      <c r="E422" s="25" t="s">
        <v>109</v>
      </c>
      <c r="F422" s="25" t="s">
        <v>813</v>
      </c>
      <c r="G422" s="25" t="s">
        <v>96</v>
      </c>
      <c r="H422" s="26">
        <v>42319</v>
      </c>
      <c r="I422" s="25">
        <v>160</v>
      </c>
      <c r="J422" s="25" t="s">
        <v>256</v>
      </c>
      <c r="K422" s="27">
        <v>4094982.1469999999</v>
      </c>
      <c r="L422" s="25">
        <v>152</v>
      </c>
      <c r="M422" s="27">
        <v>62.374263157894731</v>
      </c>
      <c r="N422" s="27">
        <v>63.27825</v>
      </c>
      <c r="O422" s="27">
        <v>78.234591979523486</v>
      </c>
      <c r="P422" s="27">
        <v>3165.0479999999998</v>
      </c>
      <c r="Q422" s="27">
        <v>3030.0590000000002</v>
      </c>
      <c r="R422" s="27">
        <v>481087.30299999996</v>
      </c>
      <c r="S422" s="27">
        <f t="shared" si="6"/>
        <v>0.11748214906197978</v>
      </c>
    </row>
    <row r="423" spans="1:19" x14ac:dyDescent="0.25">
      <c r="A423" s="19">
        <v>416</v>
      </c>
      <c r="B423" s="19" t="s">
        <v>61</v>
      </c>
      <c r="C423" s="19" t="s">
        <v>98</v>
      </c>
      <c r="D423" s="19" t="s">
        <v>108</v>
      </c>
      <c r="E423" s="25" t="s">
        <v>109</v>
      </c>
      <c r="F423" s="25" t="s">
        <v>814</v>
      </c>
      <c r="G423" s="25" t="s">
        <v>97</v>
      </c>
      <c r="H423" s="26">
        <v>42332</v>
      </c>
      <c r="I423" s="25">
        <v>163</v>
      </c>
      <c r="J423" s="25" t="s">
        <v>295</v>
      </c>
      <c r="K423" s="27">
        <v>3156400.3829999999</v>
      </c>
      <c r="L423" s="25">
        <v>249</v>
      </c>
      <c r="M423" s="27">
        <v>52.399317269076313</v>
      </c>
      <c r="N423" s="27">
        <v>54.8645</v>
      </c>
      <c r="O423" s="27">
        <v>65.360334136744044</v>
      </c>
      <c r="P423" s="27">
        <v>2206.0450000000001</v>
      </c>
      <c r="Q423" s="27">
        <v>2178.8139999999999</v>
      </c>
      <c r="R423" s="27">
        <v>549305.23499999975</v>
      </c>
      <c r="S423" s="27">
        <f t="shared" si="6"/>
        <v>0.17402901037475885</v>
      </c>
    </row>
    <row r="424" spans="1:19" x14ac:dyDescent="0.25">
      <c r="A424" s="19">
        <v>417</v>
      </c>
      <c r="B424" s="19" t="s">
        <v>61</v>
      </c>
      <c r="C424" s="19" t="s">
        <v>98</v>
      </c>
      <c r="D424" s="19" t="s">
        <v>108</v>
      </c>
      <c r="E424" s="25" t="s">
        <v>109</v>
      </c>
      <c r="F424" s="25" t="s">
        <v>815</v>
      </c>
      <c r="G424" s="25" t="s">
        <v>97</v>
      </c>
      <c r="H424" s="26">
        <v>42331</v>
      </c>
      <c r="I424" s="25">
        <v>164</v>
      </c>
      <c r="J424" s="25" t="s">
        <v>345</v>
      </c>
      <c r="K424" s="27">
        <v>4632881.2810000004</v>
      </c>
      <c r="L424" s="25">
        <v>117</v>
      </c>
      <c r="M424" s="27">
        <v>71.268820512820511</v>
      </c>
      <c r="N424" s="27">
        <v>75.585499999999996</v>
      </c>
      <c r="O424" s="27">
        <v>90.246611617307565</v>
      </c>
      <c r="P424" s="27">
        <v>4263.2259999999997</v>
      </c>
      <c r="Q424" s="27">
        <v>4510.0240000000003</v>
      </c>
      <c r="R424" s="27">
        <v>498797.40399999998</v>
      </c>
      <c r="S424" s="27">
        <f t="shared" si="6"/>
        <v>0.10766462029701208</v>
      </c>
    </row>
    <row r="425" spans="1:19" x14ac:dyDescent="0.25">
      <c r="A425" s="19">
        <v>418</v>
      </c>
      <c r="B425" s="19" t="s">
        <v>61</v>
      </c>
      <c r="C425" s="19" t="s">
        <v>98</v>
      </c>
      <c r="D425" s="19" t="s">
        <v>108</v>
      </c>
      <c r="E425" s="25" t="s">
        <v>109</v>
      </c>
      <c r="F425" s="25" t="s">
        <v>816</v>
      </c>
      <c r="G425" s="25" t="s">
        <v>97</v>
      </c>
      <c r="H425" s="26">
        <v>42331</v>
      </c>
      <c r="I425" s="25">
        <v>165</v>
      </c>
      <c r="J425" s="25" t="s">
        <v>340</v>
      </c>
      <c r="K425" s="27">
        <v>4831357.3250000002</v>
      </c>
      <c r="L425" s="25">
        <v>132</v>
      </c>
      <c r="M425" s="27">
        <v>81.462871212121243</v>
      </c>
      <c r="N425" s="27">
        <v>83.91225</v>
      </c>
      <c r="O425" s="27">
        <v>109.87120241523371</v>
      </c>
      <c r="P425" s="27">
        <v>5500.0209999999997</v>
      </c>
      <c r="Q425" s="27">
        <v>5121.24</v>
      </c>
      <c r="R425" s="27">
        <v>726002.70800000057</v>
      </c>
      <c r="S425" s="27">
        <f t="shared" si="6"/>
        <v>0.15026889115472339</v>
      </c>
    </row>
    <row r="426" spans="1:19" x14ac:dyDescent="0.25">
      <c r="A426" s="19">
        <v>419</v>
      </c>
      <c r="B426" s="19" t="s">
        <v>61</v>
      </c>
      <c r="C426" s="19" t="s">
        <v>98</v>
      </c>
      <c r="D426" s="19" t="s">
        <v>108</v>
      </c>
      <c r="E426" s="25" t="s">
        <v>109</v>
      </c>
      <c r="F426" s="25" t="s">
        <v>817</v>
      </c>
      <c r="G426" s="25" t="s">
        <v>97</v>
      </c>
      <c r="H426" s="26">
        <v>42332</v>
      </c>
      <c r="I426" s="25">
        <v>166</v>
      </c>
      <c r="J426" s="25" t="s">
        <v>312</v>
      </c>
      <c r="K426" s="27">
        <v>2617256.1719999998</v>
      </c>
      <c r="L426" s="25">
        <v>167</v>
      </c>
      <c r="M426" s="27">
        <v>56.846281437125768</v>
      </c>
      <c r="N426" s="27">
        <v>58.442999999999998</v>
      </c>
      <c r="O426" s="27">
        <v>77.679610700892709</v>
      </c>
      <c r="P426" s="27">
        <v>2783.6713772455078</v>
      </c>
      <c r="Q426" s="27">
        <v>2560.56</v>
      </c>
      <c r="R426" s="27">
        <v>464873.11999999982</v>
      </c>
      <c r="S426" s="27">
        <f t="shared" si="6"/>
        <v>0.17761850176276892</v>
      </c>
    </row>
    <row r="427" spans="1:19" x14ac:dyDescent="0.25">
      <c r="A427" s="19">
        <v>420</v>
      </c>
      <c r="B427" s="19" t="s">
        <v>61</v>
      </c>
      <c r="C427" s="19" t="s">
        <v>98</v>
      </c>
      <c r="D427" s="19" t="s">
        <v>108</v>
      </c>
      <c r="E427" s="17" t="s">
        <v>109</v>
      </c>
      <c r="F427" s="17" t="s">
        <v>818</v>
      </c>
      <c r="G427" s="17" t="s">
        <v>96</v>
      </c>
      <c r="H427" s="18">
        <v>42319</v>
      </c>
      <c r="I427" s="17">
        <v>167</v>
      </c>
      <c r="J427" s="17" t="s">
        <v>166</v>
      </c>
      <c r="K427" s="16">
        <v>5042392.8210000005</v>
      </c>
      <c r="L427" s="17">
        <v>197</v>
      </c>
      <c r="M427" s="16">
        <v>51.964611675126918</v>
      </c>
      <c r="N427" s="16">
        <v>53.097000000000001</v>
      </c>
      <c r="O427" s="16">
        <v>71.337058346523705</v>
      </c>
      <c r="P427" s="16">
        <v>2245.7190000000001</v>
      </c>
      <c r="Q427" s="16">
        <v>2085.6959999999999</v>
      </c>
      <c r="R427" s="16">
        <v>442406.5949999998</v>
      </c>
      <c r="S427" s="16">
        <f t="shared" si="6"/>
        <v>8.7737431553827711E-2</v>
      </c>
    </row>
    <row r="428" spans="1:19" x14ac:dyDescent="0.25">
      <c r="A428" s="19">
        <v>421</v>
      </c>
      <c r="B428" s="19" t="s">
        <v>61</v>
      </c>
      <c r="C428" s="19" t="s">
        <v>98</v>
      </c>
      <c r="D428" s="19" t="s">
        <v>108</v>
      </c>
      <c r="E428" s="17" t="s">
        <v>109</v>
      </c>
      <c r="F428" s="17" t="s">
        <v>819</v>
      </c>
      <c r="G428" s="17" t="s">
        <v>96</v>
      </c>
      <c r="H428" s="18">
        <v>42331</v>
      </c>
      <c r="I428" s="17">
        <v>169</v>
      </c>
      <c r="J428" s="17" t="s">
        <v>352</v>
      </c>
      <c r="K428" s="16">
        <v>4281018.9270000001</v>
      </c>
      <c r="L428" s="17">
        <v>138</v>
      </c>
      <c r="M428" s="16">
        <v>70.61167753623188</v>
      </c>
      <c r="N428" s="16">
        <v>71.79325</v>
      </c>
      <c r="O428" s="16">
        <v>102.30185100928408</v>
      </c>
      <c r="P428" s="16">
        <v>4489.732</v>
      </c>
      <c r="Q428" s="16">
        <v>3889.1224999999999</v>
      </c>
      <c r="R428" s="16">
        <v>619582.95000000019</v>
      </c>
      <c r="S428" s="16">
        <f t="shared" si="6"/>
        <v>0.14472791654630313</v>
      </c>
    </row>
    <row r="429" spans="1:19" x14ac:dyDescent="0.25">
      <c r="A429" s="19">
        <v>422</v>
      </c>
      <c r="B429" s="19" t="s">
        <v>61</v>
      </c>
      <c r="C429" s="19" t="s">
        <v>98</v>
      </c>
      <c r="D429" s="19" t="s">
        <v>108</v>
      </c>
      <c r="E429" s="17" t="s">
        <v>109</v>
      </c>
      <c r="F429" s="17" t="s">
        <v>820</v>
      </c>
      <c r="G429" s="17" t="s">
        <v>96</v>
      </c>
      <c r="H429" s="18">
        <v>42318</v>
      </c>
      <c r="I429" s="17">
        <v>170</v>
      </c>
      <c r="J429" s="17" t="s">
        <v>246</v>
      </c>
      <c r="K429" s="16">
        <v>3882831.338</v>
      </c>
      <c r="L429" s="17">
        <v>88</v>
      </c>
      <c r="M429" s="16">
        <v>85.28861931818183</v>
      </c>
      <c r="N429" s="16">
        <v>87.239000000000004</v>
      </c>
      <c r="O429" s="16">
        <v>97.185713653205482</v>
      </c>
      <c r="P429" s="16">
        <v>5757.09</v>
      </c>
      <c r="Q429" s="16">
        <v>5717.87</v>
      </c>
      <c r="R429" s="16">
        <v>506623.95799999987</v>
      </c>
      <c r="S429" s="16">
        <f t="shared" si="6"/>
        <v>0.13047797184539975</v>
      </c>
    </row>
    <row r="430" spans="1:19" x14ac:dyDescent="0.25">
      <c r="A430" s="19">
        <v>423</v>
      </c>
      <c r="B430" s="19" t="s">
        <v>61</v>
      </c>
      <c r="C430" s="19" t="s">
        <v>98</v>
      </c>
      <c r="D430" s="19" t="s">
        <v>108</v>
      </c>
      <c r="E430" s="17" t="s">
        <v>109</v>
      </c>
      <c r="F430" s="17" t="s">
        <v>821</v>
      </c>
      <c r="G430" s="17" t="s">
        <v>96</v>
      </c>
      <c r="H430" s="18">
        <v>42319</v>
      </c>
      <c r="I430" s="17">
        <v>171</v>
      </c>
      <c r="J430" s="17" t="s">
        <v>365</v>
      </c>
      <c r="K430" s="16">
        <v>3593128.1940000001</v>
      </c>
      <c r="L430" s="17">
        <v>362</v>
      </c>
      <c r="M430" s="16">
        <v>47.530780386740304</v>
      </c>
      <c r="N430" s="16">
        <v>48.981500000000004</v>
      </c>
      <c r="O430" s="16">
        <v>55.708736074515429</v>
      </c>
      <c r="P430" s="16">
        <v>1758.558</v>
      </c>
      <c r="Q430" s="16">
        <v>1745.665</v>
      </c>
      <c r="R430" s="16">
        <v>636598.05900000024</v>
      </c>
      <c r="S430" s="16">
        <f t="shared" si="6"/>
        <v>0.17717098434256426</v>
      </c>
    </row>
    <row r="431" spans="1:19" x14ac:dyDescent="0.25">
      <c r="A431" s="19">
        <v>424</v>
      </c>
      <c r="B431" s="19" t="s">
        <v>61</v>
      </c>
      <c r="C431" s="19" t="s">
        <v>98</v>
      </c>
      <c r="D431" s="19" t="s">
        <v>108</v>
      </c>
      <c r="E431" s="17" t="s">
        <v>109</v>
      </c>
      <c r="F431" s="17" t="s">
        <v>822</v>
      </c>
      <c r="G431" s="17" t="s">
        <v>97</v>
      </c>
      <c r="H431" s="18">
        <v>42319</v>
      </c>
      <c r="I431" s="17">
        <v>176</v>
      </c>
      <c r="J431" s="17" t="s">
        <v>228</v>
      </c>
      <c r="K431" s="16">
        <v>3083949.895</v>
      </c>
      <c r="L431" s="17">
        <v>306</v>
      </c>
      <c r="M431" s="16">
        <v>45.246295751633973</v>
      </c>
      <c r="N431" s="16">
        <v>48.259749999999997</v>
      </c>
      <c r="O431" s="16">
        <v>57.822920055440648</v>
      </c>
      <c r="P431" s="16">
        <v>1685.4480620915031</v>
      </c>
      <c r="Q431" s="16">
        <v>1695.8955000000001</v>
      </c>
      <c r="R431" s="16">
        <v>515747.10699999996</v>
      </c>
      <c r="S431" s="16">
        <f t="shared" si="6"/>
        <v>0.16723589051695664</v>
      </c>
    </row>
    <row r="432" spans="1:19" x14ac:dyDescent="0.25">
      <c r="A432" s="19">
        <v>425</v>
      </c>
      <c r="B432" s="19" t="s">
        <v>61</v>
      </c>
      <c r="C432" s="19" t="s">
        <v>98</v>
      </c>
      <c r="D432" s="19" t="s">
        <v>108</v>
      </c>
      <c r="E432" s="17" t="s">
        <v>109</v>
      </c>
      <c r="F432" s="17" t="s">
        <v>823</v>
      </c>
      <c r="G432" s="17" t="s">
        <v>97</v>
      </c>
      <c r="H432" s="18">
        <v>42317</v>
      </c>
      <c r="I432" s="17">
        <v>219</v>
      </c>
      <c r="J432" s="17" t="s">
        <v>196</v>
      </c>
      <c r="K432" s="16">
        <v>5283284.091</v>
      </c>
      <c r="L432" s="17">
        <v>271</v>
      </c>
      <c r="M432" s="16">
        <v>59.675407749077486</v>
      </c>
      <c r="N432" s="16">
        <v>57.110500000000002</v>
      </c>
      <c r="O432" s="16">
        <v>84.584576015706162</v>
      </c>
      <c r="P432" s="16">
        <v>3080.971</v>
      </c>
      <c r="Q432" s="16">
        <v>2445.3310000000001</v>
      </c>
      <c r="R432" s="16">
        <v>834943.17400000058</v>
      </c>
      <c r="S432" s="16">
        <f t="shared" si="6"/>
        <v>0.15803488126302245</v>
      </c>
    </row>
    <row r="433" spans="1:19" x14ac:dyDescent="0.25">
      <c r="A433" s="19">
        <v>426</v>
      </c>
      <c r="B433" s="19" t="s">
        <v>61</v>
      </c>
      <c r="C433" s="19" t="s">
        <v>98</v>
      </c>
      <c r="D433" s="19" t="s">
        <v>108</v>
      </c>
      <c r="E433" s="17" t="s">
        <v>109</v>
      </c>
      <c r="F433" s="17" t="s">
        <v>824</v>
      </c>
      <c r="G433" s="17" t="s">
        <v>97</v>
      </c>
      <c r="H433" s="18">
        <v>42335</v>
      </c>
      <c r="I433" s="17">
        <v>231</v>
      </c>
      <c r="J433" s="17" t="s">
        <v>305</v>
      </c>
      <c r="K433" s="16">
        <v>4908754.93</v>
      </c>
      <c r="L433" s="17">
        <v>107</v>
      </c>
      <c r="M433" s="16">
        <v>82.462252340000006</v>
      </c>
      <c r="N433" s="16">
        <v>83.238</v>
      </c>
      <c r="O433" s="16">
        <v>114.47637159999999</v>
      </c>
      <c r="P433" s="16">
        <v>5881.9939999999997</v>
      </c>
      <c r="Q433" s="16">
        <v>5173.9830000000002</v>
      </c>
      <c r="R433" s="16">
        <v>629373.37800000003</v>
      </c>
      <c r="S433" s="16">
        <f t="shared" si="6"/>
        <v>0.12821446313271134</v>
      </c>
    </row>
    <row r="434" spans="1:19" x14ac:dyDescent="0.25">
      <c r="A434" s="19">
        <v>427</v>
      </c>
      <c r="B434" s="19" t="s">
        <v>61</v>
      </c>
      <c r="C434" s="19" t="s">
        <v>98</v>
      </c>
      <c r="D434" s="19" t="s">
        <v>108</v>
      </c>
      <c r="E434" s="17" t="s">
        <v>109</v>
      </c>
      <c r="F434" s="17" t="s">
        <v>826</v>
      </c>
      <c r="G434" s="17" t="s">
        <v>96</v>
      </c>
      <c r="H434" s="18">
        <v>42329</v>
      </c>
      <c r="I434" s="17">
        <v>232</v>
      </c>
      <c r="J434" s="17" t="s">
        <v>162</v>
      </c>
      <c r="K434" s="16">
        <v>4112264.23</v>
      </c>
      <c r="L434" s="17">
        <v>162</v>
      </c>
      <c r="M434" s="16">
        <v>54.545123456790101</v>
      </c>
      <c r="N434" s="16">
        <v>54.213000000000001</v>
      </c>
      <c r="O434" s="16">
        <v>81.55396656312422</v>
      </c>
      <c r="P434" s="16">
        <v>2492.1480000000001</v>
      </c>
      <c r="Q434" s="16">
        <v>2028.2855</v>
      </c>
      <c r="R434" s="16">
        <v>403727.96799999994</v>
      </c>
      <c r="S434" s="16">
        <f t="shared" si="6"/>
        <v>9.8176562939390671E-2</v>
      </c>
    </row>
    <row r="435" spans="1:19" x14ac:dyDescent="0.25">
      <c r="A435" s="19">
        <v>428</v>
      </c>
      <c r="B435" s="19" t="s">
        <v>61</v>
      </c>
      <c r="C435" s="19" t="s">
        <v>98</v>
      </c>
      <c r="D435" s="19" t="s">
        <v>108</v>
      </c>
      <c r="E435" s="17" t="s">
        <v>109</v>
      </c>
      <c r="F435" s="17" t="s">
        <v>825</v>
      </c>
      <c r="G435" s="17" t="s">
        <v>97</v>
      </c>
      <c r="H435" s="18">
        <v>42329</v>
      </c>
      <c r="I435" s="17">
        <v>232</v>
      </c>
      <c r="J435" s="17" t="s">
        <v>162</v>
      </c>
      <c r="K435" s="16">
        <v>4330005.8339999998</v>
      </c>
      <c r="L435" s="17">
        <v>127</v>
      </c>
      <c r="M435" s="16">
        <v>71.20185826771656</v>
      </c>
      <c r="N435" s="16">
        <v>71.683499999999995</v>
      </c>
      <c r="O435" s="16">
        <v>101.83720351709925</v>
      </c>
      <c r="P435" s="16">
        <v>4408.6509999999998</v>
      </c>
      <c r="Q435" s="16">
        <v>3810.1239999999998</v>
      </c>
      <c r="R435" s="16">
        <v>559898.71699999983</v>
      </c>
      <c r="S435" s="16">
        <f t="shared" si="6"/>
        <v>0.12930668882789312</v>
      </c>
    </row>
    <row r="436" spans="1:19" x14ac:dyDescent="0.25">
      <c r="A436" s="19">
        <v>429</v>
      </c>
      <c r="B436" s="19" t="s">
        <v>61</v>
      </c>
      <c r="C436" s="19" t="s">
        <v>98</v>
      </c>
      <c r="D436" s="19" t="s">
        <v>108</v>
      </c>
      <c r="E436" s="17" t="s">
        <v>109</v>
      </c>
      <c r="F436" s="17" t="s">
        <v>827</v>
      </c>
      <c r="G436" s="17" t="s">
        <v>97</v>
      </c>
      <c r="H436" s="18">
        <v>42328</v>
      </c>
      <c r="I436" s="17">
        <v>236</v>
      </c>
      <c r="J436" s="17" t="s">
        <v>331</v>
      </c>
      <c r="K436" s="16">
        <v>4695272.4680000003</v>
      </c>
      <c r="L436" s="17">
        <v>314</v>
      </c>
      <c r="M436" s="16">
        <v>58.325320063694278</v>
      </c>
      <c r="N436" s="16">
        <v>58.67</v>
      </c>
      <c r="O436" s="16">
        <v>82.333612522392215</v>
      </c>
      <c r="P436" s="16">
        <v>2924.9070000000002</v>
      </c>
      <c r="Q436" s="16">
        <v>2593.5264999999999</v>
      </c>
      <c r="R436" s="16">
        <v>918420.72400000005</v>
      </c>
      <c r="S436" s="16">
        <f t="shared" si="6"/>
        <v>0.195605415928335</v>
      </c>
    </row>
    <row r="437" spans="1:19" x14ac:dyDescent="0.25">
      <c r="A437" s="19">
        <v>430</v>
      </c>
      <c r="B437" s="19" t="s">
        <v>61</v>
      </c>
      <c r="C437" s="19" t="s">
        <v>98</v>
      </c>
      <c r="D437" s="19" t="s">
        <v>108</v>
      </c>
      <c r="E437" s="17" t="s">
        <v>109</v>
      </c>
      <c r="F437" s="17" t="s">
        <v>828</v>
      </c>
      <c r="G437" s="17" t="s">
        <v>96</v>
      </c>
      <c r="H437" s="18">
        <v>42322</v>
      </c>
      <c r="I437" s="17">
        <v>241</v>
      </c>
      <c r="J437" s="17" t="s">
        <v>829</v>
      </c>
      <c r="K437" s="16">
        <v>4675548.3210000005</v>
      </c>
      <c r="L437" s="17">
        <v>149</v>
      </c>
      <c r="M437" s="16">
        <v>54.964677852348963</v>
      </c>
      <c r="N437" s="16">
        <v>54.410499999999999</v>
      </c>
      <c r="O437" s="16">
        <v>73.521711263245294</v>
      </c>
      <c r="P437" s="16">
        <v>2536.7640000000001</v>
      </c>
      <c r="Q437" s="16">
        <v>2191.183</v>
      </c>
      <c r="R437" s="16">
        <v>377977.78500000009</v>
      </c>
      <c r="S437" s="16">
        <f t="shared" si="6"/>
        <v>8.0841381384581371E-2</v>
      </c>
    </row>
    <row r="438" spans="1:19" x14ac:dyDescent="0.25">
      <c r="A438" s="19">
        <v>431</v>
      </c>
      <c r="B438" s="19" t="s">
        <v>61</v>
      </c>
      <c r="C438" s="19" t="s">
        <v>98</v>
      </c>
      <c r="D438" s="19" t="s">
        <v>108</v>
      </c>
      <c r="E438" s="17" t="s">
        <v>109</v>
      </c>
      <c r="F438" s="17" t="s">
        <v>830</v>
      </c>
      <c r="G438" s="17" t="s">
        <v>96</v>
      </c>
      <c r="H438" s="18">
        <v>42317</v>
      </c>
      <c r="I438" s="17">
        <v>243</v>
      </c>
      <c r="J438" s="17" t="s">
        <v>174</v>
      </c>
      <c r="K438" s="16">
        <v>3241072.7230000002</v>
      </c>
      <c r="L438" s="17">
        <v>92</v>
      </c>
      <c r="M438" s="16">
        <v>63.401864130434817</v>
      </c>
      <c r="N438" s="16">
        <v>62.904250000000005</v>
      </c>
      <c r="O438" s="16">
        <v>88.510407548957019</v>
      </c>
      <c r="P438" s="16">
        <v>3367.8834782608697</v>
      </c>
      <c r="Q438" s="16">
        <v>2884.9054999999998</v>
      </c>
      <c r="R438" s="16">
        <v>309845.28000000003</v>
      </c>
      <c r="S438" s="16">
        <f t="shared" si="6"/>
        <v>9.5599607438984338E-2</v>
      </c>
    </row>
    <row r="439" spans="1:19" x14ac:dyDescent="0.25">
      <c r="A439" s="19">
        <v>432</v>
      </c>
      <c r="B439" s="19" t="s">
        <v>61</v>
      </c>
      <c r="C439" s="19" t="s">
        <v>98</v>
      </c>
      <c r="D439" s="19" t="s">
        <v>108</v>
      </c>
      <c r="E439" s="17" t="s">
        <v>109</v>
      </c>
      <c r="F439" s="17" t="s">
        <v>831</v>
      </c>
      <c r="G439" s="17" t="s">
        <v>97</v>
      </c>
      <c r="H439" s="18">
        <v>42333</v>
      </c>
      <c r="I439" s="17">
        <v>253</v>
      </c>
      <c r="J439" s="17" t="s">
        <v>349</v>
      </c>
      <c r="K439" s="16">
        <v>3273982.5559999999</v>
      </c>
      <c r="L439" s="17">
        <v>153</v>
      </c>
      <c r="M439" s="16">
        <v>58.658176470588245</v>
      </c>
      <c r="N439" s="16">
        <v>46.137</v>
      </c>
      <c r="O439" s="16">
        <v>119.86377177147588</v>
      </c>
      <c r="P439" s="16">
        <v>3624.9270000000001</v>
      </c>
      <c r="Q439" s="16">
        <v>1504.6669999999999</v>
      </c>
      <c r="R439" s="16">
        <v>554613.88299999991</v>
      </c>
      <c r="S439" s="16">
        <f t="shared" si="6"/>
        <v>0.1694003781368956</v>
      </c>
    </row>
    <row r="440" spans="1:19" x14ac:dyDescent="0.25">
      <c r="A440" s="19">
        <v>433</v>
      </c>
      <c r="B440" s="19" t="s">
        <v>61</v>
      </c>
      <c r="C440" s="19" t="s">
        <v>98</v>
      </c>
      <c r="D440" s="19" t="s">
        <v>108</v>
      </c>
      <c r="E440" s="17" t="s">
        <v>109</v>
      </c>
      <c r="F440" s="17" t="s">
        <v>834</v>
      </c>
      <c r="G440" s="17" t="s">
        <v>96</v>
      </c>
      <c r="H440" s="18">
        <v>42333</v>
      </c>
      <c r="I440" s="17">
        <v>257</v>
      </c>
      <c r="J440" s="17" t="s">
        <v>833</v>
      </c>
      <c r="K440" s="16">
        <v>4581984.41</v>
      </c>
      <c r="L440" s="17">
        <v>107</v>
      </c>
      <c r="M440" s="16">
        <v>69.154780373831755</v>
      </c>
      <c r="N440" s="16">
        <v>70.512500000000003</v>
      </c>
      <c r="O440" s="16">
        <v>91.471130181183554</v>
      </c>
      <c r="P440" s="16">
        <v>4085.9789999999998</v>
      </c>
      <c r="Q440" s="16">
        <v>3773.7170000000001</v>
      </c>
      <c r="R440" s="16">
        <v>437199.70099999988</v>
      </c>
      <c r="S440" s="16">
        <f t="shared" si="6"/>
        <v>9.5417107933808934E-2</v>
      </c>
    </row>
    <row r="441" spans="1:19" x14ac:dyDescent="0.25">
      <c r="A441" s="19">
        <v>434</v>
      </c>
      <c r="B441" s="19" t="s">
        <v>61</v>
      </c>
      <c r="C441" s="19" t="s">
        <v>98</v>
      </c>
      <c r="D441" s="19" t="s">
        <v>108</v>
      </c>
      <c r="E441" s="17" t="s">
        <v>109</v>
      </c>
      <c r="F441" s="17" t="s">
        <v>832</v>
      </c>
      <c r="G441" s="17" t="s">
        <v>97</v>
      </c>
      <c r="H441" s="18">
        <v>42335</v>
      </c>
      <c r="I441" s="17">
        <v>257</v>
      </c>
      <c r="J441" s="17" t="s">
        <v>833</v>
      </c>
      <c r="K441" s="16">
        <v>4368758.898</v>
      </c>
      <c r="L441" s="17">
        <v>214</v>
      </c>
      <c r="M441" s="16">
        <v>62.775528037383182</v>
      </c>
      <c r="N441" s="16">
        <v>62.300249999999998</v>
      </c>
      <c r="O441" s="16">
        <v>82.238780787796188</v>
      </c>
      <c r="P441" s="16">
        <v>3261.6</v>
      </c>
      <c r="Q441" s="16">
        <v>2961.4459999999999</v>
      </c>
      <c r="R441" s="16">
        <v>697982.45499999984</v>
      </c>
      <c r="S441" s="16">
        <f t="shared" si="6"/>
        <v>0.15976676014772373</v>
      </c>
    </row>
    <row r="442" spans="1:19" x14ac:dyDescent="0.25">
      <c r="A442" s="19">
        <v>435</v>
      </c>
      <c r="B442" s="19" t="s">
        <v>61</v>
      </c>
      <c r="C442" s="19" t="s">
        <v>98</v>
      </c>
      <c r="D442" s="19" t="s">
        <v>108</v>
      </c>
      <c r="E442" s="17" t="s">
        <v>109</v>
      </c>
      <c r="F442" s="17" t="s">
        <v>835</v>
      </c>
      <c r="G442" s="17" t="s">
        <v>97</v>
      </c>
      <c r="H442" s="18">
        <v>42328</v>
      </c>
      <c r="I442" s="17">
        <v>273</v>
      </c>
      <c r="J442" s="17" t="s">
        <v>372</v>
      </c>
      <c r="K442" s="16">
        <v>3616508.9029999999</v>
      </c>
      <c r="L442" s="17">
        <v>187</v>
      </c>
      <c r="M442" s="16">
        <v>57.644807486630988</v>
      </c>
      <c r="N442" s="16">
        <v>60.304999999999993</v>
      </c>
      <c r="O442" s="16">
        <v>77.554454677319157</v>
      </c>
      <c r="P442" s="16">
        <v>2767.0010000000002</v>
      </c>
      <c r="Q442" s="16">
        <v>2772.76</v>
      </c>
      <c r="R442" s="16">
        <v>517429.10299999977</v>
      </c>
      <c r="S442" s="16">
        <f t="shared" si="6"/>
        <v>0.14307419582757758</v>
      </c>
    </row>
    <row r="443" spans="1:19" x14ac:dyDescent="0.25">
      <c r="A443" s="19">
        <v>436</v>
      </c>
      <c r="B443" s="19" t="s">
        <v>61</v>
      </c>
      <c r="C443" s="19" t="s">
        <v>98</v>
      </c>
      <c r="D443" s="19" t="s">
        <v>108</v>
      </c>
      <c r="E443" s="17" t="s">
        <v>109</v>
      </c>
      <c r="F443" s="17" t="s">
        <v>836</v>
      </c>
      <c r="G443" s="17" t="s">
        <v>97</v>
      </c>
      <c r="H443" s="18">
        <v>42328</v>
      </c>
      <c r="I443" s="17">
        <v>275</v>
      </c>
      <c r="J443" s="17" t="s">
        <v>348</v>
      </c>
      <c r="K443" s="16">
        <v>3442558.037</v>
      </c>
      <c r="L443" s="17">
        <v>120</v>
      </c>
      <c r="M443" s="16">
        <v>64.582341666666721</v>
      </c>
      <c r="N443" s="16">
        <v>68.799250000000001</v>
      </c>
      <c r="O443" s="16">
        <v>90.294997768513184</v>
      </c>
      <c r="P443" s="16">
        <v>3559.4593416666662</v>
      </c>
      <c r="Q443" s="16">
        <v>3501.1235000000001</v>
      </c>
      <c r="R443" s="16">
        <v>427135.12099999993</v>
      </c>
      <c r="S443" s="16">
        <f t="shared" si="6"/>
        <v>0.12407492231335762</v>
      </c>
    </row>
    <row r="444" spans="1:19" x14ac:dyDescent="0.25">
      <c r="A444" s="19">
        <v>437</v>
      </c>
      <c r="B444" s="19" t="s">
        <v>61</v>
      </c>
      <c r="C444" s="19" t="s">
        <v>98</v>
      </c>
      <c r="D444" s="19" t="s">
        <v>108</v>
      </c>
      <c r="E444" s="17" t="s">
        <v>109</v>
      </c>
      <c r="F444" s="17" t="s">
        <v>837</v>
      </c>
      <c r="G444" s="17" t="s">
        <v>97</v>
      </c>
      <c r="H444" s="18">
        <v>42328</v>
      </c>
      <c r="I444" s="17">
        <v>281</v>
      </c>
      <c r="J444" s="17" t="s">
        <v>217</v>
      </c>
      <c r="K444" s="16">
        <v>3769459.9640000002</v>
      </c>
      <c r="L444" s="17">
        <v>232</v>
      </c>
      <c r="M444" s="16">
        <v>51.708418103448274</v>
      </c>
      <c r="N444" s="16">
        <v>51.913249999999998</v>
      </c>
      <c r="O444" s="16">
        <v>63.284345950585553</v>
      </c>
      <c r="P444" s="16">
        <v>2130.2809999999999</v>
      </c>
      <c r="Q444" s="16">
        <v>2043.1044999999999</v>
      </c>
      <c r="R444" s="16">
        <v>494225.30000000028</v>
      </c>
      <c r="S444" s="16">
        <f t="shared" si="6"/>
        <v>0.13111302539888184</v>
      </c>
    </row>
    <row r="445" spans="1:19" x14ac:dyDescent="0.25">
      <c r="A445" s="19">
        <v>438</v>
      </c>
      <c r="B445" s="19" t="s">
        <v>61</v>
      </c>
      <c r="C445" s="19" t="s">
        <v>98</v>
      </c>
      <c r="D445" s="19" t="s">
        <v>108</v>
      </c>
      <c r="E445" s="25" t="s">
        <v>109</v>
      </c>
      <c r="F445" s="25" t="s">
        <v>838</v>
      </c>
      <c r="G445" s="25" t="s">
        <v>97</v>
      </c>
      <c r="H445" s="26">
        <v>42328</v>
      </c>
      <c r="I445" s="25">
        <v>299</v>
      </c>
      <c r="J445" s="25" t="s">
        <v>198</v>
      </c>
      <c r="K445" s="27">
        <v>3294993.7779999999</v>
      </c>
      <c r="L445" s="25">
        <v>272</v>
      </c>
      <c r="M445" s="27">
        <v>54.025761029411711</v>
      </c>
      <c r="N445" s="27">
        <v>53.094000000000001</v>
      </c>
      <c r="O445" s="27">
        <v>79.070791334811503</v>
      </c>
      <c r="P445" s="27">
        <v>2492.433</v>
      </c>
      <c r="Q445" s="27">
        <v>2051.7775000000001</v>
      </c>
      <c r="R445" s="27">
        <v>677941.65699999989</v>
      </c>
      <c r="S445" s="27">
        <f t="shared" si="6"/>
        <v>0.20574899458884499</v>
      </c>
    </row>
    <row r="446" spans="1:19" x14ac:dyDescent="0.25">
      <c r="A446" s="19">
        <v>439</v>
      </c>
      <c r="B446" s="19" t="s">
        <v>61</v>
      </c>
      <c r="C446" s="19" t="s">
        <v>98</v>
      </c>
      <c r="D446" s="19" t="s">
        <v>108</v>
      </c>
      <c r="E446" s="25" t="s">
        <v>109</v>
      </c>
      <c r="F446" s="25" t="s">
        <v>839</v>
      </c>
      <c r="G446" s="25" t="s">
        <v>97</v>
      </c>
      <c r="H446" s="26">
        <v>42328</v>
      </c>
      <c r="I446" s="25">
        <v>300</v>
      </c>
      <c r="J446" s="25" t="s">
        <v>334</v>
      </c>
      <c r="K446" s="27">
        <v>3736507.0359999998</v>
      </c>
      <c r="L446" s="25">
        <v>145</v>
      </c>
      <c r="M446" s="27">
        <v>53.753148275862074</v>
      </c>
      <c r="N446" s="27">
        <v>53.825000000000003</v>
      </c>
      <c r="O446" s="27">
        <v>82.074148278318205</v>
      </c>
      <c r="P446" s="27">
        <v>2576.636</v>
      </c>
      <c r="Q446" s="27">
        <v>2177.1799999999998</v>
      </c>
      <c r="R446" s="27">
        <v>373612.22100000002</v>
      </c>
      <c r="S446" s="27">
        <f t="shared" si="6"/>
        <v>9.9989700915954605E-2</v>
      </c>
    </row>
    <row r="447" spans="1:19" x14ac:dyDescent="0.25">
      <c r="A447" s="19">
        <v>440</v>
      </c>
      <c r="B447" s="19" t="s">
        <v>61</v>
      </c>
      <c r="C447" s="19" t="s">
        <v>98</v>
      </c>
      <c r="D447" s="19" t="s">
        <v>108</v>
      </c>
      <c r="E447" s="25" t="s">
        <v>109</v>
      </c>
      <c r="F447" s="25" t="s">
        <v>840</v>
      </c>
      <c r="G447" s="25" t="s">
        <v>97</v>
      </c>
      <c r="H447" s="26">
        <v>42328</v>
      </c>
      <c r="I447" s="25">
        <v>309</v>
      </c>
      <c r="J447" s="25" t="s">
        <v>352</v>
      </c>
      <c r="K447" s="27">
        <v>3251200.2609999999</v>
      </c>
      <c r="L447" s="25">
        <v>125</v>
      </c>
      <c r="M447" s="27">
        <v>65.520671999999976</v>
      </c>
      <c r="N447" s="27">
        <v>69.249499999999998</v>
      </c>
      <c r="O447" s="27">
        <v>77.292159904660352</v>
      </c>
      <c r="P447" s="27">
        <v>3462.748</v>
      </c>
      <c r="Q447" s="27">
        <v>3619.4540000000002</v>
      </c>
      <c r="R447" s="27">
        <v>432843.47700000013</v>
      </c>
      <c r="S447" s="27">
        <f t="shared" si="6"/>
        <v>0.1331334406533502</v>
      </c>
    </row>
    <row r="448" spans="1:19" x14ac:dyDescent="0.25">
      <c r="A448" s="19">
        <v>441</v>
      </c>
      <c r="B448" s="19" t="s">
        <v>61</v>
      </c>
      <c r="C448" s="19" t="s">
        <v>98</v>
      </c>
      <c r="D448" s="19" t="s">
        <v>108</v>
      </c>
      <c r="E448" s="25" t="s">
        <v>109</v>
      </c>
      <c r="F448" s="25" t="s">
        <v>851</v>
      </c>
      <c r="G448" s="25" t="s">
        <v>97</v>
      </c>
      <c r="H448" s="26">
        <v>42321</v>
      </c>
      <c r="I448" s="25">
        <v>365</v>
      </c>
      <c r="J448" s="25" t="s">
        <v>290</v>
      </c>
      <c r="K448" s="27">
        <v>3706027.679</v>
      </c>
      <c r="L448" s="25">
        <v>118</v>
      </c>
      <c r="M448" s="27">
        <v>60.119673728813574</v>
      </c>
      <c r="N448" s="27">
        <v>61.17</v>
      </c>
      <c r="O448" s="27">
        <v>77.578247941117311</v>
      </c>
      <c r="P448" s="27">
        <v>2999.3220000000001</v>
      </c>
      <c r="Q448" s="27">
        <v>2781.7455</v>
      </c>
      <c r="R448" s="27">
        <v>353920.04399999999</v>
      </c>
      <c r="S448" s="27">
        <f t="shared" si="6"/>
        <v>9.5498489125018751E-2</v>
      </c>
    </row>
    <row r="449" spans="1:19" x14ac:dyDescent="0.25">
      <c r="A449" s="19">
        <v>442</v>
      </c>
      <c r="B449" s="19" t="s">
        <v>61</v>
      </c>
      <c r="C449" s="19" t="s">
        <v>98</v>
      </c>
      <c r="D449" s="19" t="s">
        <v>108</v>
      </c>
      <c r="E449" s="25" t="s">
        <v>109</v>
      </c>
      <c r="F449" s="25" t="s">
        <v>852</v>
      </c>
      <c r="G449" s="25" t="s">
        <v>96</v>
      </c>
      <c r="H449" s="26">
        <v>42321</v>
      </c>
      <c r="I449" s="25">
        <v>365</v>
      </c>
      <c r="J449" s="25" t="s">
        <v>290</v>
      </c>
      <c r="K449" s="27">
        <v>4427095.8480000002</v>
      </c>
      <c r="L449" s="25">
        <v>111</v>
      </c>
      <c r="M449" s="27">
        <v>73.296806306306323</v>
      </c>
      <c r="N449" s="27">
        <v>76.474500000000006</v>
      </c>
      <c r="O449" s="27">
        <v>88.767965687428969</v>
      </c>
      <c r="P449" s="27">
        <v>4287.1499999999996</v>
      </c>
      <c r="Q449" s="27">
        <v>4251.2079999999996</v>
      </c>
      <c r="R449" s="27">
        <v>475873.64800000004</v>
      </c>
      <c r="S449" s="27">
        <f t="shared" si="6"/>
        <v>0.10749115545239038</v>
      </c>
    </row>
    <row r="450" spans="1:19" x14ac:dyDescent="0.25">
      <c r="A450" s="19">
        <v>443</v>
      </c>
      <c r="B450" s="19" t="s">
        <v>61</v>
      </c>
      <c r="C450" s="19" t="s">
        <v>98</v>
      </c>
      <c r="D450" s="19" t="s">
        <v>108</v>
      </c>
      <c r="E450" s="25" t="s">
        <v>109</v>
      </c>
      <c r="F450" s="25" t="s">
        <v>853</v>
      </c>
      <c r="G450" s="25" t="s">
        <v>97</v>
      </c>
      <c r="H450" s="26">
        <v>42336</v>
      </c>
      <c r="I450" s="25">
        <v>375</v>
      </c>
      <c r="J450" s="25" t="s">
        <v>268</v>
      </c>
      <c r="K450" s="27">
        <v>5602358.2810000004</v>
      </c>
      <c r="L450" s="25">
        <v>124</v>
      </c>
      <c r="M450" s="27">
        <v>86.943407258064539</v>
      </c>
      <c r="N450" s="27">
        <v>89.166750000000008</v>
      </c>
      <c r="O450" s="27">
        <v>110.3411666847046</v>
      </c>
      <c r="P450" s="27">
        <v>6233.6229999999996</v>
      </c>
      <c r="Q450" s="27">
        <v>5639.1044999999995</v>
      </c>
      <c r="R450" s="27">
        <v>772969.26599999983</v>
      </c>
      <c r="S450" s="27">
        <f t="shared" si="6"/>
        <v>0.13797212302923756</v>
      </c>
    </row>
    <row r="451" spans="1:19" x14ac:dyDescent="0.25">
      <c r="A451" s="19">
        <v>444</v>
      </c>
      <c r="B451" s="19" t="s">
        <v>61</v>
      </c>
      <c r="C451" s="19" t="s">
        <v>98</v>
      </c>
      <c r="D451" s="19" t="s">
        <v>108</v>
      </c>
      <c r="E451" s="25" t="s">
        <v>109</v>
      </c>
      <c r="F451" s="25" t="s">
        <v>854</v>
      </c>
      <c r="G451" s="25" t="s">
        <v>97</v>
      </c>
      <c r="H451" s="26">
        <v>42321</v>
      </c>
      <c r="I451" s="25">
        <v>376</v>
      </c>
      <c r="J451" s="25" t="s">
        <v>268</v>
      </c>
      <c r="K451" s="27">
        <v>4443148.0310000004</v>
      </c>
      <c r="L451" s="25">
        <v>141</v>
      </c>
      <c r="M451" s="27">
        <v>64.042858156028402</v>
      </c>
      <c r="N451" s="27">
        <v>67.054000000000002</v>
      </c>
      <c r="O451" s="27">
        <v>86.812416715899033</v>
      </c>
      <c r="P451" s="27">
        <v>3540.924</v>
      </c>
      <c r="Q451" s="27">
        <v>3474.9940000000001</v>
      </c>
      <c r="R451" s="27">
        <v>499270.23399999988</v>
      </c>
      <c r="S451" s="27">
        <f t="shared" si="6"/>
        <v>0.11236857978095122</v>
      </c>
    </row>
    <row r="452" spans="1:19" x14ac:dyDescent="0.25">
      <c r="A452" s="19">
        <v>445</v>
      </c>
      <c r="B452" s="19" t="s">
        <v>61</v>
      </c>
      <c r="C452" s="19" t="s">
        <v>98</v>
      </c>
      <c r="D452" s="19" t="s">
        <v>108</v>
      </c>
      <c r="E452" s="25" t="s">
        <v>109</v>
      </c>
      <c r="F452" s="25" t="s">
        <v>855</v>
      </c>
      <c r="G452" s="25" t="s">
        <v>97</v>
      </c>
      <c r="H452" s="26">
        <v>42321</v>
      </c>
      <c r="I452" s="25">
        <v>377</v>
      </c>
      <c r="J452" s="32" t="s">
        <v>1015</v>
      </c>
      <c r="K452" s="27">
        <v>5405760.9280000003</v>
      </c>
      <c r="L452" s="25">
        <v>129</v>
      </c>
      <c r="M452" s="27">
        <v>80.299713178294581</v>
      </c>
      <c r="N452" s="27">
        <v>82.990499999999997</v>
      </c>
      <c r="O452" s="27">
        <v>102.4698422836742</v>
      </c>
      <c r="P452" s="27">
        <v>5299.2849999999999</v>
      </c>
      <c r="Q452" s="27">
        <v>5128.4740000000002</v>
      </c>
      <c r="R452" s="27">
        <v>683607.78700000013</v>
      </c>
      <c r="S452" s="27">
        <f t="shared" si="6"/>
        <v>0.12645912316601807</v>
      </c>
    </row>
    <row r="453" spans="1:19" x14ac:dyDescent="0.25">
      <c r="A453" s="19">
        <v>446</v>
      </c>
      <c r="B453" s="19" t="s">
        <v>61</v>
      </c>
      <c r="C453" s="19" t="s">
        <v>98</v>
      </c>
      <c r="D453" s="19" t="s">
        <v>108</v>
      </c>
      <c r="E453" s="25" t="s">
        <v>109</v>
      </c>
      <c r="F453" s="25" t="s">
        <v>856</v>
      </c>
      <c r="G453" s="25" t="s">
        <v>97</v>
      </c>
      <c r="H453" s="26">
        <v>42321</v>
      </c>
      <c r="I453" s="25">
        <v>378</v>
      </c>
      <c r="J453" s="25" t="s">
        <v>268</v>
      </c>
      <c r="K453" s="27">
        <v>5102423.16</v>
      </c>
      <c r="L453" s="25">
        <v>131</v>
      </c>
      <c r="M453" s="27">
        <v>82.226480916030567</v>
      </c>
      <c r="N453" s="27">
        <v>83.319500000000005</v>
      </c>
      <c r="O453" s="27">
        <v>103.57478135931538</v>
      </c>
      <c r="P453" s="27">
        <v>5585.4210000000003</v>
      </c>
      <c r="Q453" s="27">
        <v>5045.8590000000004</v>
      </c>
      <c r="R453" s="27">
        <v>731690.12100000062</v>
      </c>
      <c r="S453" s="27">
        <f t="shared" si="6"/>
        <v>0.14340051737300452</v>
      </c>
    </row>
    <row r="454" spans="1:19" x14ac:dyDescent="0.25">
      <c r="A454" s="19">
        <v>447</v>
      </c>
      <c r="B454" s="19" t="s">
        <v>61</v>
      </c>
      <c r="C454" s="19" t="s">
        <v>98</v>
      </c>
      <c r="D454" s="19" t="s">
        <v>108</v>
      </c>
      <c r="E454" s="25" t="s">
        <v>109</v>
      </c>
      <c r="F454" s="25" t="s">
        <v>857</v>
      </c>
      <c r="G454" s="25" t="s">
        <v>97</v>
      </c>
      <c r="H454" s="26">
        <v>42336</v>
      </c>
      <c r="I454" s="25">
        <v>379</v>
      </c>
      <c r="J454" s="25" t="s">
        <v>268</v>
      </c>
      <c r="K454" s="27">
        <v>4417461.0839999998</v>
      </c>
      <c r="L454" s="25">
        <v>119</v>
      </c>
      <c r="M454" s="27">
        <v>70.358218489999999</v>
      </c>
      <c r="N454" s="27">
        <v>72.185000000000002</v>
      </c>
      <c r="O454" s="27">
        <v>91.641168969999995</v>
      </c>
      <c r="P454" s="27">
        <v>4165.5010000000002</v>
      </c>
      <c r="Q454" s="27">
        <v>3899.5079999999998</v>
      </c>
      <c r="R454" s="27">
        <v>495694.65100000001</v>
      </c>
      <c r="S454" s="27">
        <f t="shared" si="6"/>
        <v>0.11221256771121338</v>
      </c>
    </row>
    <row r="455" spans="1:19" x14ac:dyDescent="0.25">
      <c r="A455" s="19">
        <v>448</v>
      </c>
      <c r="B455" s="19" t="s">
        <v>61</v>
      </c>
      <c r="C455" s="19" t="s">
        <v>98</v>
      </c>
      <c r="D455" s="19" t="s">
        <v>108</v>
      </c>
      <c r="E455" s="25" t="s">
        <v>109</v>
      </c>
      <c r="F455" s="25" t="s">
        <v>858</v>
      </c>
      <c r="G455" s="25" t="s">
        <v>97</v>
      </c>
      <c r="H455" s="26">
        <v>42322</v>
      </c>
      <c r="I455" s="25">
        <v>380</v>
      </c>
      <c r="J455" s="25" t="s">
        <v>268</v>
      </c>
      <c r="K455" s="27">
        <v>5631636.9110000003</v>
      </c>
      <c r="L455" s="25">
        <v>157</v>
      </c>
      <c r="M455" s="27">
        <v>69.578640127388525</v>
      </c>
      <c r="N455" s="27">
        <v>68.780499999999989</v>
      </c>
      <c r="O455" s="27">
        <v>106.69099922379067</v>
      </c>
      <c r="P455" s="27">
        <v>4388.8959999999997</v>
      </c>
      <c r="Q455" s="27">
        <v>3390.0439999999999</v>
      </c>
      <c r="R455" s="27">
        <v>689056.68800000031</v>
      </c>
      <c r="S455" s="27">
        <f t="shared" si="6"/>
        <v>0.12235460113809889</v>
      </c>
    </row>
    <row r="456" spans="1:19" x14ac:dyDescent="0.25">
      <c r="A456" s="19">
        <v>449</v>
      </c>
      <c r="B456" s="19" t="s">
        <v>61</v>
      </c>
      <c r="C456" s="19" t="s">
        <v>98</v>
      </c>
      <c r="D456" s="19" t="s">
        <v>108</v>
      </c>
      <c r="E456" s="25" t="s">
        <v>109</v>
      </c>
      <c r="F456" s="25" t="s">
        <v>859</v>
      </c>
      <c r="G456" s="25" t="s">
        <v>97</v>
      </c>
      <c r="H456" s="26">
        <v>42326</v>
      </c>
      <c r="I456" s="25">
        <v>381</v>
      </c>
      <c r="J456" s="25" t="s">
        <v>268</v>
      </c>
      <c r="K456" s="27">
        <v>5211646</v>
      </c>
      <c r="L456" s="25">
        <v>100</v>
      </c>
      <c r="M456" s="27">
        <v>96.858335000000011</v>
      </c>
      <c r="N456" s="27">
        <v>100.6455</v>
      </c>
      <c r="O456" s="27">
        <v>120.75801846172013</v>
      </c>
      <c r="P456" s="27">
        <v>7788.576</v>
      </c>
      <c r="Q456" s="27">
        <v>7722.3505000000005</v>
      </c>
      <c r="R456" s="27">
        <v>778857.61899999983</v>
      </c>
      <c r="S456" s="27">
        <f t="shared" ref="S456:S519" si="7">R456/K456</f>
        <v>0.14944561065736234</v>
      </c>
    </row>
    <row r="457" spans="1:19" x14ac:dyDescent="0.25">
      <c r="A457" s="19">
        <v>450</v>
      </c>
      <c r="B457" s="19" t="s">
        <v>61</v>
      </c>
      <c r="C457" s="19" t="s">
        <v>98</v>
      </c>
      <c r="D457" s="19" t="s">
        <v>108</v>
      </c>
      <c r="E457" s="25" t="s">
        <v>109</v>
      </c>
      <c r="F457" s="25" t="s">
        <v>860</v>
      </c>
      <c r="G457" s="25" t="s">
        <v>97</v>
      </c>
      <c r="H457" s="26">
        <v>42326</v>
      </c>
      <c r="I457" s="25">
        <v>382</v>
      </c>
      <c r="J457" s="25" t="s">
        <v>268</v>
      </c>
      <c r="K457" s="27">
        <v>4614563.9340000004</v>
      </c>
      <c r="L457" s="25">
        <v>127</v>
      </c>
      <c r="M457" s="27">
        <v>69.969992125984248</v>
      </c>
      <c r="N457" s="27">
        <v>71.123999999999995</v>
      </c>
      <c r="O457" s="27">
        <v>100.67523377589292</v>
      </c>
      <c r="P457" s="27">
        <v>4326.5209999999997</v>
      </c>
      <c r="Q457" s="27">
        <v>3933.5810000000001</v>
      </c>
      <c r="R457" s="27">
        <v>549468.13900000008</v>
      </c>
      <c r="S457" s="27">
        <f t="shared" si="7"/>
        <v>0.11907260292820553</v>
      </c>
    </row>
    <row r="458" spans="1:19" x14ac:dyDescent="0.25">
      <c r="A458" s="19">
        <v>451</v>
      </c>
      <c r="B458" s="19" t="s">
        <v>61</v>
      </c>
      <c r="C458" s="19" t="s">
        <v>98</v>
      </c>
      <c r="D458" s="19" t="s">
        <v>108</v>
      </c>
      <c r="E458" s="25" t="s">
        <v>109</v>
      </c>
      <c r="F458" s="25" t="s">
        <v>861</v>
      </c>
      <c r="G458" s="25" t="s">
        <v>97</v>
      </c>
      <c r="H458" s="26">
        <v>42321</v>
      </c>
      <c r="I458" s="25">
        <v>383</v>
      </c>
      <c r="J458" s="25" t="s">
        <v>268</v>
      </c>
      <c r="K458" s="27">
        <v>5584182.8279999997</v>
      </c>
      <c r="L458" s="25">
        <v>216</v>
      </c>
      <c r="M458" s="27">
        <v>71.262171296296273</v>
      </c>
      <c r="N458" s="27">
        <v>75.310500000000005</v>
      </c>
      <c r="O458" s="27">
        <v>97.519870941511613</v>
      </c>
      <c r="P458" s="27">
        <v>4350.0630000000001</v>
      </c>
      <c r="Q458" s="27">
        <v>4181.8945000000003</v>
      </c>
      <c r="R458" s="27">
        <v>939613.52199999942</v>
      </c>
      <c r="S458" s="27">
        <f t="shared" si="7"/>
        <v>0.16826338802673591</v>
      </c>
    </row>
    <row r="459" spans="1:19" x14ac:dyDescent="0.25">
      <c r="A459" s="19">
        <v>452</v>
      </c>
      <c r="B459" s="19" t="s">
        <v>61</v>
      </c>
      <c r="C459" s="19" t="s">
        <v>98</v>
      </c>
      <c r="D459" s="19" t="s">
        <v>108</v>
      </c>
      <c r="E459" s="25" t="s">
        <v>109</v>
      </c>
      <c r="F459" s="25" t="s">
        <v>862</v>
      </c>
      <c r="G459" s="25" t="s">
        <v>97</v>
      </c>
      <c r="H459" s="26">
        <v>42321</v>
      </c>
      <c r="I459" s="25">
        <v>385</v>
      </c>
      <c r="J459" s="25" t="s">
        <v>268</v>
      </c>
      <c r="K459" s="27">
        <v>4045696.0490000001</v>
      </c>
      <c r="L459" s="25">
        <v>118</v>
      </c>
      <c r="M459" s="27">
        <v>77.601059322033876</v>
      </c>
      <c r="N459" s="27">
        <v>79.543000000000006</v>
      </c>
      <c r="O459" s="27">
        <v>102.53866685962703</v>
      </c>
      <c r="P459" s="27">
        <v>5009.9939999999997</v>
      </c>
      <c r="Q459" s="27">
        <v>4782.2584999999999</v>
      </c>
      <c r="R459" s="27">
        <v>591179.25800000015</v>
      </c>
      <c r="S459" s="27">
        <f t="shared" si="7"/>
        <v>0.14612547528036013</v>
      </c>
    </row>
    <row r="460" spans="1:19" x14ac:dyDescent="0.25">
      <c r="A460" s="19">
        <v>453</v>
      </c>
      <c r="B460" s="19" t="s">
        <v>61</v>
      </c>
      <c r="C460" s="19" t="s">
        <v>98</v>
      </c>
      <c r="D460" s="19" t="s">
        <v>108</v>
      </c>
      <c r="E460" s="25" t="s">
        <v>109</v>
      </c>
      <c r="F460" s="25" t="s">
        <v>863</v>
      </c>
      <c r="G460" s="25" t="s">
        <v>97</v>
      </c>
      <c r="H460" s="26">
        <v>42321</v>
      </c>
      <c r="I460" s="25">
        <v>386</v>
      </c>
      <c r="J460" s="25" t="s">
        <v>379</v>
      </c>
      <c r="K460" s="27">
        <v>4061382.2960000001</v>
      </c>
      <c r="L460" s="25">
        <v>385</v>
      </c>
      <c r="M460" s="27">
        <v>52.185687012986946</v>
      </c>
      <c r="N460" s="27">
        <v>55.114000000000004</v>
      </c>
      <c r="O460" s="27">
        <v>65.359076070103043</v>
      </c>
      <c r="P460" s="27">
        <v>2234.34</v>
      </c>
      <c r="Q460" s="27">
        <v>2257.2289999999998</v>
      </c>
      <c r="R460" s="27">
        <v>860220.76600000053</v>
      </c>
      <c r="S460" s="27">
        <f t="shared" si="7"/>
        <v>0.21180492337478798</v>
      </c>
    </row>
    <row r="461" spans="1:19" x14ac:dyDescent="0.25">
      <c r="A461" s="19">
        <v>454</v>
      </c>
      <c r="B461" s="19" t="s">
        <v>61</v>
      </c>
      <c r="C461" s="19" t="s">
        <v>98</v>
      </c>
      <c r="D461" s="19" t="s">
        <v>108</v>
      </c>
      <c r="E461" s="25" t="s">
        <v>109</v>
      </c>
      <c r="F461" s="25" t="s">
        <v>864</v>
      </c>
      <c r="G461" s="25" t="s">
        <v>96</v>
      </c>
      <c r="H461" s="26">
        <v>42320</v>
      </c>
      <c r="I461" s="25">
        <v>388</v>
      </c>
      <c r="J461" s="25" t="s">
        <v>218</v>
      </c>
      <c r="K461" s="27">
        <v>4118480</v>
      </c>
      <c r="L461" s="25">
        <v>96</v>
      </c>
      <c r="M461" s="27">
        <v>80.760411458333365</v>
      </c>
      <c r="N461" s="27">
        <v>83.95750000000001</v>
      </c>
      <c r="O461" s="27">
        <v>105.97375361251704</v>
      </c>
      <c r="P461" s="27">
        <v>5311.9920000000002</v>
      </c>
      <c r="Q461" s="27">
        <v>5097.902</v>
      </c>
      <c r="R461" s="27">
        <v>509951.22800000012</v>
      </c>
      <c r="S461" s="27">
        <f t="shared" si="7"/>
        <v>0.1238202511606224</v>
      </c>
    </row>
    <row r="462" spans="1:19" x14ac:dyDescent="0.25">
      <c r="A462" s="19">
        <v>455</v>
      </c>
      <c r="B462" s="19" t="s">
        <v>61</v>
      </c>
      <c r="C462" s="19" t="s">
        <v>98</v>
      </c>
      <c r="D462" s="19" t="s">
        <v>108</v>
      </c>
      <c r="E462" s="25" t="s">
        <v>109</v>
      </c>
      <c r="F462" s="25" t="s">
        <v>865</v>
      </c>
      <c r="G462" s="25" t="s">
        <v>96</v>
      </c>
      <c r="H462" s="26">
        <v>42320</v>
      </c>
      <c r="I462" s="25">
        <v>389</v>
      </c>
      <c r="J462" s="25" t="s">
        <v>340</v>
      </c>
      <c r="K462" s="27">
        <v>4130065.1120000002</v>
      </c>
      <c r="L462" s="25">
        <v>116</v>
      </c>
      <c r="M462" s="27">
        <v>79.628301724137913</v>
      </c>
      <c r="N462" s="27">
        <v>87.459249999999997</v>
      </c>
      <c r="O462" s="27">
        <v>112.01870619548662</v>
      </c>
      <c r="P462" s="27">
        <v>5645.7060000000001</v>
      </c>
      <c r="Q462" s="27">
        <v>5811.5709999999999</v>
      </c>
      <c r="R462" s="27">
        <v>654901.86600000015</v>
      </c>
      <c r="S462" s="27">
        <f t="shared" si="7"/>
        <v>0.1585693804432205</v>
      </c>
    </row>
    <row r="463" spans="1:19" x14ac:dyDescent="0.25">
      <c r="A463" s="19">
        <v>456</v>
      </c>
      <c r="B463" s="19" t="s">
        <v>61</v>
      </c>
      <c r="C463" s="19" t="s">
        <v>98</v>
      </c>
      <c r="D463" s="19" t="s">
        <v>108</v>
      </c>
      <c r="E463" s="25" t="s">
        <v>109</v>
      </c>
      <c r="F463" s="25" t="s">
        <v>866</v>
      </c>
      <c r="G463" s="25" t="s">
        <v>97</v>
      </c>
      <c r="H463" s="26">
        <v>42327</v>
      </c>
      <c r="I463" s="25">
        <v>390</v>
      </c>
      <c r="J463" s="25" t="s">
        <v>268</v>
      </c>
      <c r="K463" s="27">
        <v>3106713.3420000002</v>
      </c>
      <c r="L463" s="25">
        <v>161</v>
      </c>
      <c r="M463" s="27">
        <v>68.102779503105609</v>
      </c>
      <c r="N463" s="27">
        <v>65.064499999999995</v>
      </c>
      <c r="O463" s="27">
        <v>89.923619677842495</v>
      </c>
      <c r="P463" s="27">
        <v>3764.357</v>
      </c>
      <c r="Q463" s="27">
        <v>3151.7660000000001</v>
      </c>
      <c r="R463" s="27">
        <v>606061.51700000011</v>
      </c>
      <c r="S463" s="27">
        <f t="shared" si="7"/>
        <v>0.19508124834260943</v>
      </c>
    </row>
    <row r="464" spans="1:19" x14ac:dyDescent="0.25">
      <c r="A464" s="19">
        <v>457</v>
      </c>
      <c r="B464" s="19" t="s">
        <v>61</v>
      </c>
      <c r="C464" s="19" t="s">
        <v>98</v>
      </c>
      <c r="D464" s="19" t="s">
        <v>108</v>
      </c>
      <c r="E464" s="25" t="s">
        <v>109</v>
      </c>
      <c r="F464" s="25" t="s">
        <v>867</v>
      </c>
      <c r="G464" s="25" t="s">
        <v>97</v>
      </c>
      <c r="H464" s="26">
        <v>42321</v>
      </c>
      <c r="I464" s="25">
        <v>391</v>
      </c>
      <c r="J464" s="25" t="s">
        <v>268</v>
      </c>
      <c r="K464" s="27">
        <v>4193747.5789999999</v>
      </c>
      <c r="L464" s="25">
        <v>104</v>
      </c>
      <c r="M464" s="27">
        <v>85.363370192307698</v>
      </c>
      <c r="N464" s="27">
        <v>89.438500000000005</v>
      </c>
      <c r="O464" s="27">
        <v>107.8073044326364</v>
      </c>
      <c r="P464" s="27">
        <v>6035.326</v>
      </c>
      <c r="Q464" s="27">
        <v>6050.7829999999994</v>
      </c>
      <c r="R464" s="27">
        <v>627673.92399999977</v>
      </c>
      <c r="S464" s="27">
        <f t="shared" si="7"/>
        <v>0.14966898035138032</v>
      </c>
    </row>
    <row r="465" spans="1:19" x14ac:dyDescent="0.25">
      <c r="A465" s="19">
        <v>458</v>
      </c>
      <c r="B465" s="19" t="s">
        <v>61</v>
      </c>
      <c r="C465" s="19" t="s">
        <v>98</v>
      </c>
      <c r="D465" s="19" t="s">
        <v>108</v>
      </c>
      <c r="E465" s="25" t="s">
        <v>109</v>
      </c>
      <c r="F465" s="25" t="s">
        <v>868</v>
      </c>
      <c r="G465" s="25" t="s">
        <v>97</v>
      </c>
      <c r="H465" s="26">
        <v>42321</v>
      </c>
      <c r="I465" s="25">
        <v>392</v>
      </c>
      <c r="J465" s="25" t="s">
        <v>154</v>
      </c>
      <c r="K465" s="27">
        <v>3031053.9339999999</v>
      </c>
      <c r="L465" s="25">
        <v>191</v>
      </c>
      <c r="M465" s="27">
        <v>50.944835078534012</v>
      </c>
      <c r="N465" s="27">
        <v>53.968499999999999</v>
      </c>
      <c r="O465" s="27">
        <v>61.532188640104572</v>
      </c>
      <c r="P465" s="27">
        <v>2092.2570000000001</v>
      </c>
      <c r="Q465" s="27">
        <v>2229.4569999999999</v>
      </c>
      <c r="R465" s="27">
        <v>399620.99599999998</v>
      </c>
      <c r="S465" s="27">
        <f t="shared" si="7"/>
        <v>0.13184225840304695</v>
      </c>
    </row>
    <row r="466" spans="1:19" x14ac:dyDescent="0.25">
      <c r="A466" s="19">
        <v>459</v>
      </c>
      <c r="B466" s="19" t="s">
        <v>61</v>
      </c>
      <c r="C466" s="19" t="s">
        <v>98</v>
      </c>
      <c r="D466" s="19" t="s">
        <v>108</v>
      </c>
      <c r="E466" s="25" t="s">
        <v>109</v>
      </c>
      <c r="F466" s="25" t="s">
        <v>869</v>
      </c>
      <c r="G466" s="25" t="s">
        <v>97</v>
      </c>
      <c r="H466" s="26">
        <v>42327</v>
      </c>
      <c r="I466" s="25">
        <v>394</v>
      </c>
      <c r="J466" s="25" t="s">
        <v>268</v>
      </c>
      <c r="K466" s="27">
        <v>5124344.7920000004</v>
      </c>
      <c r="L466" s="25">
        <v>142</v>
      </c>
      <c r="M466" s="27">
        <v>70.224830985915503</v>
      </c>
      <c r="N466" s="27">
        <v>72.867500000000007</v>
      </c>
      <c r="O466" s="27">
        <v>99.481366580112962</v>
      </c>
      <c r="P466" s="27">
        <v>4269.0230000000001</v>
      </c>
      <c r="Q466" s="27">
        <v>4027.6319999999996</v>
      </c>
      <c r="R466" s="27">
        <v>606201.30800000019</v>
      </c>
      <c r="S466" s="27">
        <f t="shared" si="7"/>
        <v>0.11829830595052593</v>
      </c>
    </row>
    <row r="467" spans="1:19" x14ac:dyDescent="0.25">
      <c r="A467" s="19">
        <v>460</v>
      </c>
      <c r="B467" s="19" t="s">
        <v>61</v>
      </c>
      <c r="C467" s="19" t="s">
        <v>98</v>
      </c>
      <c r="D467" s="19" t="s">
        <v>108</v>
      </c>
      <c r="E467" s="25" t="s">
        <v>109</v>
      </c>
      <c r="F467" s="25" t="s">
        <v>870</v>
      </c>
      <c r="G467" s="25" t="s">
        <v>97</v>
      </c>
      <c r="H467" s="26">
        <v>42327</v>
      </c>
      <c r="I467" s="25">
        <v>395</v>
      </c>
      <c r="J467" s="32" t="s">
        <v>1015</v>
      </c>
      <c r="K467" s="27">
        <v>4803650.727</v>
      </c>
      <c r="L467" s="25">
        <v>87</v>
      </c>
      <c r="M467" s="27">
        <v>86.077540229885088</v>
      </c>
      <c r="N467" s="27">
        <v>94.035499999999999</v>
      </c>
      <c r="O467" s="27">
        <v>118.29661522829359</v>
      </c>
      <c r="P467" s="27">
        <v>6572.9189999999999</v>
      </c>
      <c r="Q467" s="27">
        <v>6509.37</v>
      </c>
      <c r="R467" s="27">
        <v>571843.91900000011</v>
      </c>
      <c r="S467" s="27">
        <f t="shared" si="7"/>
        <v>0.11904360901716328</v>
      </c>
    </row>
    <row r="468" spans="1:19" x14ac:dyDescent="0.25">
      <c r="A468" s="19">
        <v>461</v>
      </c>
      <c r="B468" s="19" t="s">
        <v>61</v>
      </c>
      <c r="C468" s="19" t="s">
        <v>98</v>
      </c>
      <c r="D468" s="19" t="s">
        <v>108</v>
      </c>
      <c r="E468" s="25" t="s">
        <v>109</v>
      </c>
      <c r="F468" s="25" t="s">
        <v>871</v>
      </c>
      <c r="G468" s="25" t="s">
        <v>97</v>
      </c>
      <c r="H468" s="26">
        <v>42327</v>
      </c>
      <c r="I468" s="25">
        <v>397</v>
      </c>
      <c r="J468" s="25" t="s">
        <v>356</v>
      </c>
      <c r="K468" s="27">
        <v>4040182.0350000001</v>
      </c>
      <c r="L468" s="25">
        <v>77</v>
      </c>
      <c r="M468" s="27">
        <v>63.782753246753245</v>
      </c>
      <c r="N468" s="27">
        <v>61.658000000000001</v>
      </c>
      <c r="O468" s="27">
        <v>99.673908697934721</v>
      </c>
      <c r="P468" s="27">
        <v>3822.078</v>
      </c>
      <c r="Q468" s="27">
        <v>2961.3290000000002</v>
      </c>
      <c r="R468" s="27">
        <v>294299.98300000012</v>
      </c>
      <c r="S468" s="27">
        <f t="shared" si="7"/>
        <v>7.2843248262203633E-2</v>
      </c>
    </row>
    <row r="469" spans="1:19" x14ac:dyDescent="0.25">
      <c r="A469" s="19">
        <v>462</v>
      </c>
      <c r="B469" s="19" t="s">
        <v>61</v>
      </c>
      <c r="C469" s="19" t="s">
        <v>98</v>
      </c>
      <c r="D469" s="19" t="s">
        <v>108</v>
      </c>
      <c r="E469" s="25" t="s">
        <v>109</v>
      </c>
      <c r="F469" s="25" t="s">
        <v>872</v>
      </c>
      <c r="G469" s="25" t="s">
        <v>97</v>
      </c>
      <c r="H469" s="26">
        <v>42320</v>
      </c>
      <c r="I469" s="25">
        <v>401</v>
      </c>
      <c r="J469" s="25" t="s">
        <v>284</v>
      </c>
      <c r="K469" s="27">
        <v>3431588.835</v>
      </c>
      <c r="L469" s="25">
        <v>125</v>
      </c>
      <c r="M469" s="27">
        <v>50.705716000000024</v>
      </c>
      <c r="N469" s="27">
        <v>51.964500000000001</v>
      </c>
      <c r="O469" s="27">
        <v>61.867477122729461</v>
      </c>
      <c r="P469" s="27">
        <v>2094.9160000000002</v>
      </c>
      <c r="Q469" s="27">
        <v>2071.46</v>
      </c>
      <c r="R469" s="27">
        <v>261864.45199999999</v>
      </c>
      <c r="S469" s="27">
        <f t="shared" si="7"/>
        <v>7.6309973190596417E-2</v>
      </c>
    </row>
    <row r="470" spans="1:19" x14ac:dyDescent="0.25">
      <c r="A470" s="19">
        <v>463</v>
      </c>
      <c r="B470" s="19" t="s">
        <v>61</v>
      </c>
      <c r="C470" s="19" t="s">
        <v>98</v>
      </c>
      <c r="D470" s="19" t="s">
        <v>108</v>
      </c>
      <c r="E470" s="25" t="s">
        <v>109</v>
      </c>
      <c r="F470" s="25" t="s">
        <v>873</v>
      </c>
      <c r="G470" s="25" t="s">
        <v>97</v>
      </c>
      <c r="H470" s="26">
        <v>42336</v>
      </c>
      <c r="I470" s="25">
        <v>402</v>
      </c>
      <c r="J470" s="25" t="s">
        <v>268</v>
      </c>
      <c r="K470" s="27">
        <v>5455754.6270000003</v>
      </c>
      <c r="L470" s="25">
        <v>173</v>
      </c>
      <c r="M470" s="27">
        <v>74.488971098265878</v>
      </c>
      <c r="N470" s="27">
        <v>75.643499999999989</v>
      </c>
      <c r="O470" s="27">
        <v>110.46410579190722</v>
      </c>
      <c r="P470" s="27">
        <v>4985.3029999999999</v>
      </c>
      <c r="Q470" s="27">
        <v>4121.45</v>
      </c>
      <c r="R470" s="27">
        <v>862457.46099999978</v>
      </c>
      <c r="S470" s="27">
        <f t="shared" si="7"/>
        <v>0.15808215727514238</v>
      </c>
    </row>
    <row r="471" spans="1:19" x14ac:dyDescent="0.25">
      <c r="A471" s="19">
        <v>464</v>
      </c>
      <c r="B471" s="19" t="s">
        <v>61</v>
      </c>
      <c r="C471" s="19" t="s">
        <v>98</v>
      </c>
      <c r="D471" s="19" t="s">
        <v>108</v>
      </c>
      <c r="E471" s="25" t="s">
        <v>109</v>
      </c>
      <c r="F471" s="25" t="s">
        <v>874</v>
      </c>
      <c r="G471" s="25" t="s">
        <v>97</v>
      </c>
      <c r="H471" s="26">
        <v>42336</v>
      </c>
      <c r="I471" s="25">
        <v>424</v>
      </c>
      <c r="J471" s="25" t="s">
        <v>262</v>
      </c>
      <c r="K471" s="27">
        <v>2558252.2230000002</v>
      </c>
      <c r="L471" s="25">
        <v>217</v>
      </c>
      <c r="M471" s="27">
        <v>47.698255760368681</v>
      </c>
      <c r="N471" s="27">
        <v>48.358499999999999</v>
      </c>
      <c r="O471" s="27">
        <v>66.021278226925418</v>
      </c>
      <c r="P471" s="27">
        <v>1882.4799124423967</v>
      </c>
      <c r="Q471" s="27">
        <v>1715.3030000000001</v>
      </c>
      <c r="R471" s="27">
        <v>408498.14100000006</v>
      </c>
      <c r="S471" s="27">
        <f t="shared" si="7"/>
        <v>0.15967860296470854</v>
      </c>
    </row>
    <row r="472" spans="1:19" x14ac:dyDescent="0.25">
      <c r="A472" s="19">
        <v>465</v>
      </c>
      <c r="B472" s="19" t="s">
        <v>61</v>
      </c>
      <c r="C472" s="19" t="s">
        <v>98</v>
      </c>
      <c r="D472" s="19" t="s">
        <v>108</v>
      </c>
      <c r="E472" s="25" t="s">
        <v>109</v>
      </c>
      <c r="F472" s="25" t="s">
        <v>876</v>
      </c>
      <c r="G472" s="25" t="s">
        <v>97</v>
      </c>
      <c r="H472" s="26">
        <v>42326</v>
      </c>
      <c r="I472" s="25">
        <v>458</v>
      </c>
      <c r="J472" s="25" t="s">
        <v>157</v>
      </c>
      <c r="K472" s="27">
        <v>2248042.6609999998</v>
      </c>
      <c r="L472" s="25">
        <v>220</v>
      </c>
      <c r="M472" s="27">
        <v>44.99567499999997</v>
      </c>
      <c r="N472" s="27">
        <v>45.103499999999997</v>
      </c>
      <c r="O472" s="27">
        <v>56.137074614218022</v>
      </c>
      <c r="P472" s="27">
        <v>1599.9659999999999</v>
      </c>
      <c r="Q472" s="27">
        <v>1480.4315000000001</v>
      </c>
      <c r="R472" s="27">
        <v>351992.57700000022</v>
      </c>
      <c r="S472" s="27">
        <f t="shared" si="7"/>
        <v>0.15657735642944734</v>
      </c>
    </row>
    <row r="473" spans="1:19" x14ac:dyDescent="0.25">
      <c r="A473" s="19">
        <v>466</v>
      </c>
      <c r="B473" s="19" t="s">
        <v>61</v>
      </c>
      <c r="C473" s="19" t="s">
        <v>98</v>
      </c>
      <c r="D473" s="19" t="s">
        <v>108</v>
      </c>
      <c r="E473" s="25" t="s">
        <v>109</v>
      </c>
      <c r="F473" s="25" t="s">
        <v>878</v>
      </c>
      <c r="G473" s="25" t="s">
        <v>96</v>
      </c>
      <c r="H473" s="26">
        <v>42320</v>
      </c>
      <c r="I473" s="25">
        <v>479</v>
      </c>
      <c r="J473" s="25" t="s">
        <v>291</v>
      </c>
      <c r="K473" s="27">
        <v>5103455.6229999997</v>
      </c>
      <c r="L473" s="25">
        <v>134</v>
      </c>
      <c r="M473" s="27">
        <v>50.611458955223874</v>
      </c>
      <c r="N473" s="27">
        <v>49.325749999999999</v>
      </c>
      <c r="O473" s="27">
        <v>73.262276985852282</v>
      </c>
      <c r="P473" s="27">
        <v>2210.2559999999999</v>
      </c>
      <c r="Q473" s="27">
        <v>1816.4955</v>
      </c>
      <c r="R473" s="27">
        <v>296174.23399999994</v>
      </c>
      <c r="S473" s="27">
        <f t="shared" si="7"/>
        <v>5.8034056897686474E-2</v>
      </c>
    </row>
    <row r="474" spans="1:19" x14ac:dyDescent="0.25">
      <c r="A474" s="19">
        <v>467</v>
      </c>
      <c r="B474" s="19" t="s">
        <v>61</v>
      </c>
      <c r="C474" s="19" t="s">
        <v>98</v>
      </c>
      <c r="D474" s="19" t="s">
        <v>108</v>
      </c>
      <c r="E474" s="25" t="s">
        <v>109</v>
      </c>
      <c r="F474" s="25" t="s">
        <v>881</v>
      </c>
      <c r="G474" s="25" t="s">
        <v>96</v>
      </c>
      <c r="H474" s="26">
        <v>42320</v>
      </c>
      <c r="I474" s="25">
        <v>480</v>
      </c>
      <c r="J474" s="25" t="s">
        <v>352</v>
      </c>
      <c r="K474" s="27">
        <v>4905434.4330000002</v>
      </c>
      <c r="L474" s="25">
        <v>300</v>
      </c>
      <c r="M474" s="27">
        <v>50.488071666666656</v>
      </c>
      <c r="N474" s="27">
        <v>50.352999999999994</v>
      </c>
      <c r="O474" s="27">
        <v>72.519036422351789</v>
      </c>
      <c r="P474" s="27">
        <v>2161.1999999999998</v>
      </c>
      <c r="Q474" s="27">
        <v>1867.9549999999999</v>
      </c>
      <c r="R474" s="27">
        <v>648360.06200000003</v>
      </c>
      <c r="S474" s="27">
        <f t="shared" si="7"/>
        <v>0.13217179249983058</v>
      </c>
    </row>
    <row r="475" spans="1:19" x14ac:dyDescent="0.25">
      <c r="A475" s="19">
        <v>468</v>
      </c>
      <c r="B475" s="19" t="s">
        <v>61</v>
      </c>
      <c r="C475" s="19" t="s">
        <v>98</v>
      </c>
      <c r="D475" s="19" t="s">
        <v>108</v>
      </c>
      <c r="E475" s="25" t="s">
        <v>109</v>
      </c>
      <c r="F475" s="25" t="s">
        <v>880</v>
      </c>
      <c r="G475" s="25" t="s">
        <v>97</v>
      </c>
      <c r="H475" s="26">
        <v>42320</v>
      </c>
      <c r="I475" s="25">
        <v>480</v>
      </c>
      <c r="J475" s="25" t="s">
        <v>352</v>
      </c>
      <c r="K475" s="27">
        <v>2857910.41</v>
      </c>
      <c r="L475" s="25">
        <v>262</v>
      </c>
      <c r="M475" s="27">
        <v>44.863664122137401</v>
      </c>
      <c r="N475" s="27">
        <v>44.859500000000004</v>
      </c>
      <c r="O475" s="27">
        <v>61.117189223263104</v>
      </c>
      <c r="P475" s="27">
        <v>1653.1192748091596</v>
      </c>
      <c r="Q475" s="27">
        <v>1439.6665</v>
      </c>
      <c r="R475" s="27">
        <v>433117.24999999983</v>
      </c>
      <c r="S475" s="27">
        <f t="shared" si="7"/>
        <v>0.1515503244904027</v>
      </c>
    </row>
    <row r="476" spans="1:19" x14ac:dyDescent="0.25">
      <c r="A476" s="19">
        <v>469</v>
      </c>
      <c r="B476" s="19" t="s">
        <v>61</v>
      </c>
      <c r="C476" s="19" t="s">
        <v>98</v>
      </c>
      <c r="D476" s="19" t="s">
        <v>108</v>
      </c>
      <c r="E476" s="25" t="s">
        <v>109</v>
      </c>
      <c r="F476" s="25" t="s">
        <v>882</v>
      </c>
      <c r="G476" s="25" t="s">
        <v>97</v>
      </c>
      <c r="H476" s="26">
        <v>42321</v>
      </c>
      <c r="I476" s="25">
        <v>481</v>
      </c>
      <c r="J476" s="25" t="s">
        <v>883</v>
      </c>
      <c r="K476" s="27">
        <v>3975236.0619999999</v>
      </c>
      <c r="L476" s="25">
        <v>478</v>
      </c>
      <c r="M476" s="27">
        <v>39.35746443514649</v>
      </c>
      <c r="N476" s="27">
        <v>39.960749999999997</v>
      </c>
      <c r="O476" s="27">
        <v>47.772667941178135</v>
      </c>
      <c r="P476" s="27">
        <v>1215.4880000000001</v>
      </c>
      <c r="Q476" s="27">
        <v>1173.0730000000001</v>
      </c>
      <c r="R476" s="27">
        <v>581003.29000000027</v>
      </c>
      <c r="S476" s="27">
        <f t="shared" si="7"/>
        <v>0.14615566998747967</v>
      </c>
    </row>
    <row r="477" spans="1:19" x14ac:dyDescent="0.25">
      <c r="A477" s="19">
        <v>470</v>
      </c>
      <c r="B477" s="19" t="s">
        <v>61</v>
      </c>
      <c r="C477" s="19" t="s">
        <v>98</v>
      </c>
      <c r="D477" s="19" t="s">
        <v>108</v>
      </c>
      <c r="E477" s="25" t="s">
        <v>109</v>
      </c>
      <c r="F477" s="25" t="s">
        <v>884</v>
      </c>
      <c r="G477" s="25" t="s">
        <v>96</v>
      </c>
      <c r="H477" s="26">
        <v>42321</v>
      </c>
      <c r="I477" s="25">
        <v>481</v>
      </c>
      <c r="J477" s="25" t="s">
        <v>883</v>
      </c>
      <c r="K477" s="27">
        <v>3567106.8169999998</v>
      </c>
      <c r="L477" s="25">
        <v>298</v>
      </c>
      <c r="M477" s="27">
        <v>41.361750000000001</v>
      </c>
      <c r="N477" s="27">
        <v>43.08925</v>
      </c>
      <c r="O477" s="27">
        <v>49.725375810000003</v>
      </c>
      <c r="P477" s="27">
        <v>1354.174</v>
      </c>
      <c r="Q477" s="27">
        <v>1373.8945000000001</v>
      </c>
      <c r="R477" s="27">
        <v>403543.84700000001</v>
      </c>
      <c r="S477" s="27">
        <f t="shared" si="7"/>
        <v>0.11312917378218226</v>
      </c>
    </row>
    <row r="478" spans="1:19" x14ac:dyDescent="0.25">
      <c r="A478" s="19">
        <v>471</v>
      </c>
      <c r="B478" s="19" t="s">
        <v>61</v>
      </c>
      <c r="C478" s="19" t="s">
        <v>98</v>
      </c>
      <c r="D478" s="19" t="s">
        <v>108</v>
      </c>
      <c r="E478" s="25" t="s">
        <v>109</v>
      </c>
      <c r="F478" s="25" t="s">
        <v>885</v>
      </c>
      <c r="G478" s="25" t="s">
        <v>97</v>
      </c>
      <c r="H478" s="26">
        <v>42326</v>
      </c>
      <c r="I478" s="25">
        <v>494</v>
      </c>
      <c r="J478" s="25" t="s">
        <v>255</v>
      </c>
      <c r="K478" s="27">
        <v>3617394.5720000002</v>
      </c>
      <c r="L478" s="25">
        <v>235</v>
      </c>
      <c r="M478" s="27">
        <v>44.850014893617072</v>
      </c>
      <c r="N478" s="27">
        <v>46.533500000000004</v>
      </c>
      <c r="O478" s="27">
        <v>55.91175936502966</v>
      </c>
      <c r="P478" s="27">
        <v>1628.4839999999999</v>
      </c>
      <c r="Q478" s="27">
        <v>1597.47</v>
      </c>
      <c r="R478" s="27">
        <v>382693.647</v>
      </c>
      <c r="S478" s="27">
        <f t="shared" si="7"/>
        <v>0.1057926193515613</v>
      </c>
    </row>
    <row r="479" spans="1:19" x14ac:dyDescent="0.25">
      <c r="A479" s="19">
        <v>472</v>
      </c>
      <c r="B479" s="19" t="s">
        <v>61</v>
      </c>
      <c r="C479" s="19" t="s">
        <v>98</v>
      </c>
      <c r="D479" s="19" t="s">
        <v>108</v>
      </c>
      <c r="E479" s="25" t="s">
        <v>109</v>
      </c>
      <c r="F479" s="25" t="s">
        <v>886</v>
      </c>
      <c r="G479" s="25" t="s">
        <v>97</v>
      </c>
      <c r="H479" s="26">
        <v>42326</v>
      </c>
      <c r="I479" s="25">
        <v>499</v>
      </c>
      <c r="J479" s="25" t="s">
        <v>341</v>
      </c>
      <c r="K479" s="27">
        <v>3992631.1</v>
      </c>
      <c r="L479" s="25">
        <v>169</v>
      </c>
      <c r="M479" s="27">
        <v>69.121630177514817</v>
      </c>
      <c r="N479" s="27">
        <v>70.024000000000001</v>
      </c>
      <c r="O479" s="27">
        <v>83.958639489479438</v>
      </c>
      <c r="P479" s="27">
        <v>3853.9009999999998</v>
      </c>
      <c r="Q479" s="27">
        <v>3706.7379999999998</v>
      </c>
      <c r="R479" s="27">
        <v>651309.24600000028</v>
      </c>
      <c r="S479" s="27">
        <f t="shared" si="7"/>
        <v>0.16312782966600653</v>
      </c>
    </row>
    <row r="480" spans="1:19" x14ac:dyDescent="0.25">
      <c r="A480" s="19">
        <v>473</v>
      </c>
      <c r="B480" s="19" t="s">
        <v>61</v>
      </c>
      <c r="C480" s="19" t="s">
        <v>98</v>
      </c>
      <c r="D480" s="19" t="s">
        <v>108</v>
      </c>
      <c r="E480" s="25" t="s">
        <v>109</v>
      </c>
      <c r="F480" s="25" t="s">
        <v>888</v>
      </c>
      <c r="G480" s="25" t="s">
        <v>97</v>
      </c>
      <c r="H480" s="26">
        <v>42335</v>
      </c>
      <c r="I480" s="25">
        <v>503</v>
      </c>
      <c r="J480" s="25" t="s">
        <v>163</v>
      </c>
      <c r="K480" s="27">
        <v>3000286.094</v>
      </c>
      <c r="L480" s="25">
        <v>72</v>
      </c>
      <c r="M480" s="27">
        <v>62.950881944444454</v>
      </c>
      <c r="N480" s="27">
        <v>63.780999999999992</v>
      </c>
      <c r="O480" s="27">
        <v>85.926684303828395</v>
      </c>
      <c r="P480" s="27">
        <v>3230.1603472222228</v>
      </c>
      <c r="Q480" s="27">
        <v>3003.2685000000001</v>
      </c>
      <c r="R480" s="27">
        <v>232571.54500000004</v>
      </c>
      <c r="S480" s="27">
        <f t="shared" si="7"/>
        <v>7.7516456002345496E-2</v>
      </c>
    </row>
    <row r="481" spans="1:19" x14ac:dyDescent="0.25">
      <c r="A481" s="19">
        <v>474</v>
      </c>
      <c r="B481" s="19" t="s">
        <v>61</v>
      </c>
      <c r="C481" s="19" t="s">
        <v>98</v>
      </c>
      <c r="D481" s="19" t="s">
        <v>108</v>
      </c>
      <c r="E481" s="25" t="s">
        <v>109</v>
      </c>
      <c r="F481" s="25" t="s">
        <v>890</v>
      </c>
      <c r="G481" s="25" t="s">
        <v>97</v>
      </c>
      <c r="H481" s="26">
        <v>42326</v>
      </c>
      <c r="I481" s="25">
        <v>514</v>
      </c>
      <c r="J481" s="25" t="s">
        <v>51</v>
      </c>
      <c r="K481" s="27">
        <v>3640221.2420000001</v>
      </c>
      <c r="L481" s="25">
        <v>493</v>
      </c>
      <c r="M481" s="27">
        <v>46.011043610547659</v>
      </c>
      <c r="N481" s="27">
        <v>47.662999999999997</v>
      </c>
      <c r="O481" s="27">
        <v>56.333205564162057</v>
      </c>
      <c r="P481" s="27">
        <v>1711.3440000000001</v>
      </c>
      <c r="Q481" s="27">
        <v>1695.9559999999999</v>
      </c>
      <c r="R481" s="27">
        <v>843692.74300000013</v>
      </c>
      <c r="S481" s="27">
        <f t="shared" si="7"/>
        <v>0.23176963346778914</v>
      </c>
    </row>
    <row r="482" spans="1:19" x14ac:dyDescent="0.25">
      <c r="A482" s="19">
        <v>475</v>
      </c>
      <c r="B482" s="19" t="s">
        <v>61</v>
      </c>
      <c r="C482" s="19" t="s">
        <v>98</v>
      </c>
      <c r="D482" s="19" t="s">
        <v>108</v>
      </c>
      <c r="E482" s="25" t="s">
        <v>109</v>
      </c>
      <c r="F482" s="25" t="s">
        <v>892</v>
      </c>
      <c r="G482" s="25" t="s">
        <v>97</v>
      </c>
      <c r="H482" s="26">
        <v>42336</v>
      </c>
      <c r="I482" s="25">
        <v>526</v>
      </c>
      <c r="J482" s="25" t="s">
        <v>351</v>
      </c>
      <c r="K482" s="27">
        <v>3073340.568</v>
      </c>
      <c r="L482" s="25">
        <v>222</v>
      </c>
      <c r="M482" s="27">
        <v>58.223331080000001</v>
      </c>
      <c r="N482" s="27">
        <v>59.673999999999999</v>
      </c>
      <c r="O482" s="27">
        <v>78.900985009999999</v>
      </c>
      <c r="P482" s="27">
        <v>2835.152</v>
      </c>
      <c r="Q482" s="27">
        <v>2575.7894999999999</v>
      </c>
      <c r="R482" s="27">
        <v>629403.71699999995</v>
      </c>
      <c r="S482" s="27">
        <f t="shared" si="7"/>
        <v>0.20479465359401716</v>
      </c>
    </row>
    <row r="483" spans="1:19" x14ac:dyDescent="0.25">
      <c r="A483" s="19">
        <v>476</v>
      </c>
      <c r="B483" s="19" t="s">
        <v>61</v>
      </c>
      <c r="C483" s="19" t="s">
        <v>98</v>
      </c>
      <c r="D483" s="19" t="s">
        <v>108</v>
      </c>
      <c r="E483" s="25" t="s">
        <v>109</v>
      </c>
      <c r="F483" s="25" t="s">
        <v>893</v>
      </c>
      <c r="G483" s="25" t="s">
        <v>97</v>
      </c>
      <c r="H483" s="26">
        <v>42327</v>
      </c>
      <c r="I483" s="25">
        <v>528</v>
      </c>
      <c r="J483" s="25" t="s">
        <v>894</v>
      </c>
      <c r="K483" s="27">
        <v>2862213.75</v>
      </c>
      <c r="L483" s="25">
        <v>168</v>
      </c>
      <c r="M483" s="27">
        <v>54.582866071428555</v>
      </c>
      <c r="N483" s="27">
        <v>57.701000000000001</v>
      </c>
      <c r="O483" s="27">
        <v>70.838608747722461</v>
      </c>
      <c r="P483" s="27">
        <v>2452.2530654761904</v>
      </c>
      <c r="Q483" s="27">
        <v>2508.9684999999999</v>
      </c>
      <c r="R483" s="27">
        <v>411978.51499999996</v>
      </c>
      <c r="S483" s="27">
        <f t="shared" si="7"/>
        <v>0.14393701902941383</v>
      </c>
    </row>
    <row r="484" spans="1:19" x14ac:dyDescent="0.25">
      <c r="A484" s="19">
        <v>477</v>
      </c>
      <c r="B484" s="19" t="s">
        <v>61</v>
      </c>
      <c r="C484" s="19" t="s">
        <v>98</v>
      </c>
      <c r="D484" s="19" t="s">
        <v>108</v>
      </c>
      <c r="E484" s="25" t="s">
        <v>109</v>
      </c>
      <c r="F484" s="25" t="s">
        <v>896</v>
      </c>
      <c r="G484" s="25" t="s">
        <v>97</v>
      </c>
      <c r="H484" s="26">
        <v>42335</v>
      </c>
      <c r="I484" s="25">
        <v>551</v>
      </c>
      <c r="J484" s="25" t="s">
        <v>254</v>
      </c>
      <c r="K484" s="27">
        <v>4844777.7079999996</v>
      </c>
      <c r="L484" s="25">
        <v>106</v>
      </c>
      <c r="M484" s="27">
        <v>73.806688679245298</v>
      </c>
      <c r="N484" s="27">
        <v>73.855249999999998</v>
      </c>
      <c r="O484" s="27">
        <v>113.81674026188173</v>
      </c>
      <c r="P484" s="27">
        <v>5086.3649999999998</v>
      </c>
      <c r="Q484" s="27">
        <v>4062.172</v>
      </c>
      <c r="R484" s="27">
        <v>539154.71</v>
      </c>
      <c r="S484" s="27">
        <f t="shared" si="7"/>
        <v>0.11128574776706762</v>
      </c>
    </row>
    <row r="485" spans="1:19" x14ac:dyDescent="0.25">
      <c r="A485" s="19">
        <v>478</v>
      </c>
      <c r="B485" s="19" t="s">
        <v>61</v>
      </c>
      <c r="C485" s="19" t="s">
        <v>98</v>
      </c>
      <c r="D485" s="19" t="s">
        <v>108</v>
      </c>
      <c r="E485" s="25" t="s">
        <v>109</v>
      </c>
      <c r="F485" s="25" t="s">
        <v>897</v>
      </c>
      <c r="G485" s="25" t="s">
        <v>97</v>
      </c>
      <c r="H485" s="26">
        <v>42332</v>
      </c>
      <c r="I485" s="25">
        <v>559</v>
      </c>
      <c r="J485" s="25" t="s">
        <v>213</v>
      </c>
      <c r="K485" s="27">
        <v>4726051.95</v>
      </c>
      <c r="L485" s="25">
        <v>149</v>
      </c>
      <c r="M485" s="27">
        <v>61.14276174496645</v>
      </c>
      <c r="N485" s="27">
        <v>59.407499999999999</v>
      </c>
      <c r="O485" s="27">
        <v>80.690745656344234</v>
      </c>
      <c r="P485" s="27">
        <v>3104.1019999999999</v>
      </c>
      <c r="Q485" s="27">
        <v>2636.0010000000002</v>
      </c>
      <c r="R485" s="27">
        <v>462511.13800000015</v>
      </c>
      <c r="S485" s="27">
        <f t="shared" si="7"/>
        <v>9.7864167151188453E-2</v>
      </c>
    </row>
    <row r="486" spans="1:19" x14ac:dyDescent="0.25">
      <c r="A486" s="19">
        <v>479</v>
      </c>
      <c r="B486" s="19" t="s">
        <v>61</v>
      </c>
      <c r="C486" s="19" t="s">
        <v>98</v>
      </c>
      <c r="D486" s="19" t="s">
        <v>108</v>
      </c>
      <c r="E486" s="25" t="s">
        <v>109</v>
      </c>
      <c r="F486" s="25" t="s">
        <v>898</v>
      </c>
      <c r="G486" s="25" t="s">
        <v>97</v>
      </c>
      <c r="H486" s="26">
        <v>42332</v>
      </c>
      <c r="I486" s="25">
        <v>567</v>
      </c>
      <c r="J486" s="25" t="s">
        <v>298</v>
      </c>
      <c r="K486" s="27">
        <v>4228719.4570000004</v>
      </c>
      <c r="L486" s="25">
        <v>123</v>
      </c>
      <c r="M486" s="27">
        <v>77.907886178861787</v>
      </c>
      <c r="N486" s="27">
        <v>81.1755</v>
      </c>
      <c r="O486" s="27">
        <v>94.141421738594147</v>
      </c>
      <c r="P486" s="27">
        <v>4918.7820000000002</v>
      </c>
      <c r="Q486" s="27">
        <v>5076.1980000000003</v>
      </c>
      <c r="R486" s="27">
        <v>605010.15999999957</v>
      </c>
      <c r="S486" s="27">
        <f t="shared" si="7"/>
        <v>0.14307171855501019</v>
      </c>
    </row>
    <row r="487" spans="1:19" x14ac:dyDescent="0.25">
      <c r="A487" s="19">
        <v>480</v>
      </c>
      <c r="B487" s="19" t="s">
        <v>61</v>
      </c>
      <c r="C487" s="19" t="s">
        <v>98</v>
      </c>
      <c r="D487" s="19" t="s">
        <v>108</v>
      </c>
      <c r="E487" s="25" t="s">
        <v>109</v>
      </c>
      <c r="F487" s="25" t="s">
        <v>899</v>
      </c>
      <c r="G487" s="25" t="s">
        <v>97</v>
      </c>
      <c r="H487" s="26">
        <v>42332</v>
      </c>
      <c r="I487" s="25">
        <v>577</v>
      </c>
      <c r="J487" s="25" t="s">
        <v>271</v>
      </c>
      <c r="K487" s="27">
        <v>4205283.2039999999</v>
      </c>
      <c r="L487" s="25">
        <v>237</v>
      </c>
      <c r="M487" s="27">
        <v>47.690440928270029</v>
      </c>
      <c r="N487" s="27">
        <v>47.256</v>
      </c>
      <c r="O487" s="27">
        <v>72.061550376059472</v>
      </c>
      <c r="P487" s="27">
        <v>2010.2629999999999</v>
      </c>
      <c r="Q487" s="27">
        <v>1575.7660000000001</v>
      </c>
      <c r="R487" s="27">
        <v>476432.35200000007</v>
      </c>
      <c r="S487" s="27">
        <f t="shared" si="7"/>
        <v>0.1132937614158364</v>
      </c>
    </row>
    <row r="488" spans="1:19" x14ac:dyDescent="0.25">
      <c r="A488" s="19">
        <v>481</v>
      </c>
      <c r="B488" s="19" t="s">
        <v>61</v>
      </c>
      <c r="C488" s="19" t="s">
        <v>98</v>
      </c>
      <c r="D488" s="19" t="s">
        <v>108</v>
      </c>
      <c r="E488" s="25" t="s">
        <v>109</v>
      </c>
      <c r="F488" s="25" t="s">
        <v>900</v>
      </c>
      <c r="G488" s="25" t="s">
        <v>97</v>
      </c>
      <c r="H488" s="26">
        <v>42333</v>
      </c>
      <c r="I488" s="25">
        <v>589</v>
      </c>
      <c r="J488" s="25" t="s">
        <v>205</v>
      </c>
      <c r="K488" s="27">
        <v>4238743.7280000001</v>
      </c>
      <c r="L488" s="25">
        <v>124</v>
      </c>
      <c r="M488" s="27">
        <v>70.640592741935464</v>
      </c>
      <c r="N488" s="27">
        <v>70.675749999999994</v>
      </c>
      <c r="O488" s="27">
        <v>95.031970978960217</v>
      </c>
      <c r="P488" s="27">
        <v>4181.5820000000003</v>
      </c>
      <c r="Q488" s="27">
        <v>3781.4184999999998</v>
      </c>
      <c r="R488" s="27">
        <v>518516.18199999945</v>
      </c>
      <c r="S488" s="27">
        <f t="shared" si="7"/>
        <v>0.12232779693068517</v>
      </c>
    </row>
    <row r="489" spans="1:19" x14ac:dyDescent="0.25">
      <c r="A489" s="19">
        <v>482</v>
      </c>
      <c r="B489" s="19" t="s">
        <v>61</v>
      </c>
      <c r="C489" s="19" t="s">
        <v>98</v>
      </c>
      <c r="D489" s="19" t="s">
        <v>108</v>
      </c>
      <c r="E489" s="25" t="s">
        <v>109</v>
      </c>
      <c r="F489" s="25" t="s">
        <v>902</v>
      </c>
      <c r="G489" s="25" t="s">
        <v>96</v>
      </c>
      <c r="H489" s="26">
        <v>42327</v>
      </c>
      <c r="I489" s="25">
        <v>604</v>
      </c>
      <c r="J489" s="25" t="s">
        <v>214</v>
      </c>
      <c r="K489" s="27">
        <v>4117497.7250000001</v>
      </c>
      <c r="L489" s="25">
        <v>244</v>
      </c>
      <c r="M489" s="27">
        <v>48.227594262295064</v>
      </c>
      <c r="N489" s="27">
        <v>50.959500000000006</v>
      </c>
      <c r="O489" s="27">
        <v>58.264909843003849</v>
      </c>
      <c r="P489" s="27">
        <v>1856.895</v>
      </c>
      <c r="Q489" s="27">
        <v>1942.9859999999999</v>
      </c>
      <c r="R489" s="27">
        <v>453082.45299999998</v>
      </c>
      <c r="S489" s="27">
        <f t="shared" si="7"/>
        <v>0.11003830074975936</v>
      </c>
    </row>
    <row r="490" spans="1:19" x14ac:dyDescent="0.25">
      <c r="A490" s="19">
        <v>483</v>
      </c>
      <c r="B490" s="19" t="s">
        <v>61</v>
      </c>
      <c r="C490" s="19" t="s">
        <v>98</v>
      </c>
      <c r="D490" s="19" t="s">
        <v>108</v>
      </c>
      <c r="E490" s="25" t="s">
        <v>109</v>
      </c>
      <c r="F490" s="25" t="s">
        <v>903</v>
      </c>
      <c r="G490" s="25" t="s">
        <v>97</v>
      </c>
      <c r="H490" s="26">
        <v>42321</v>
      </c>
      <c r="I490" s="25">
        <v>616</v>
      </c>
      <c r="J490" s="25" t="s">
        <v>375</v>
      </c>
      <c r="K490" s="27">
        <v>3676006.6749999998</v>
      </c>
      <c r="L490" s="25">
        <v>279</v>
      </c>
      <c r="M490" s="27">
        <v>46.087297491039479</v>
      </c>
      <c r="N490" s="27">
        <v>49.158000000000001</v>
      </c>
      <c r="O490" s="27">
        <v>54.899650650828704</v>
      </c>
      <c r="P490" s="27">
        <v>1699.6579999999999</v>
      </c>
      <c r="Q490" s="27">
        <v>1845.7840000000001</v>
      </c>
      <c r="R490" s="27">
        <v>474204.53100000019</v>
      </c>
      <c r="S490" s="27">
        <f t="shared" si="7"/>
        <v>0.12899991020826973</v>
      </c>
    </row>
    <row r="491" spans="1:19" x14ac:dyDescent="0.25">
      <c r="A491" s="19">
        <v>484</v>
      </c>
      <c r="B491" s="19" t="s">
        <v>61</v>
      </c>
      <c r="C491" s="19" t="s">
        <v>98</v>
      </c>
      <c r="D491" s="19" t="s">
        <v>108</v>
      </c>
      <c r="E491" s="25" t="s">
        <v>109</v>
      </c>
      <c r="F491" s="25" t="s">
        <v>797</v>
      </c>
      <c r="G491" s="25" t="s">
        <v>97</v>
      </c>
      <c r="H491" s="26">
        <v>42321</v>
      </c>
      <c r="I491" s="25">
        <v>1054</v>
      </c>
      <c r="J491" s="25" t="s">
        <v>284</v>
      </c>
      <c r="K491" s="27">
        <v>4577637.051</v>
      </c>
      <c r="L491" s="25">
        <v>277</v>
      </c>
      <c r="M491" s="27">
        <v>49.932758122743664</v>
      </c>
      <c r="N491" s="27">
        <v>50.723500000000001</v>
      </c>
      <c r="O491" s="27">
        <v>61.048776793847743</v>
      </c>
      <c r="P491" s="27">
        <v>1992.7860000000001</v>
      </c>
      <c r="Q491" s="27">
        <v>1954.538</v>
      </c>
      <c r="R491" s="27">
        <v>552001.67600000009</v>
      </c>
      <c r="S491" s="27">
        <f t="shared" si="7"/>
        <v>0.12058659737547639</v>
      </c>
    </row>
    <row r="492" spans="1:19" x14ac:dyDescent="0.25">
      <c r="A492" s="19">
        <v>485</v>
      </c>
      <c r="B492" s="19" t="s">
        <v>61</v>
      </c>
      <c r="C492" s="19" t="s">
        <v>98</v>
      </c>
      <c r="D492" s="19" t="s">
        <v>108</v>
      </c>
      <c r="E492" s="25" t="s">
        <v>109</v>
      </c>
      <c r="F492" s="25" t="s">
        <v>799</v>
      </c>
      <c r="G492" s="25" t="s">
        <v>97</v>
      </c>
      <c r="H492" s="26">
        <v>42333</v>
      </c>
      <c r="I492" s="25">
        <v>1172</v>
      </c>
      <c r="J492" s="25" t="s">
        <v>269</v>
      </c>
      <c r="K492" s="27">
        <v>5238775.2340000002</v>
      </c>
      <c r="L492" s="25">
        <v>206</v>
      </c>
      <c r="M492" s="27">
        <v>70.073218446601956</v>
      </c>
      <c r="N492" s="27">
        <v>69.978749999999991</v>
      </c>
      <c r="O492" s="27">
        <v>96.276005199269122</v>
      </c>
      <c r="P492" s="27">
        <v>4127.7820000000002</v>
      </c>
      <c r="Q492" s="27">
        <v>3585.9645</v>
      </c>
      <c r="R492" s="27">
        <v>850322.9930000006</v>
      </c>
      <c r="S492" s="27">
        <f t="shared" si="7"/>
        <v>0.16231331847973696</v>
      </c>
    </row>
    <row r="493" spans="1:19" x14ac:dyDescent="0.25">
      <c r="A493" s="19">
        <v>486</v>
      </c>
      <c r="B493" s="19" t="s">
        <v>61</v>
      </c>
      <c r="C493" s="19" t="s">
        <v>98</v>
      </c>
      <c r="D493" s="19" t="s">
        <v>108</v>
      </c>
      <c r="E493" s="25" t="s">
        <v>109</v>
      </c>
      <c r="F493" s="25" t="s">
        <v>800</v>
      </c>
      <c r="G493" s="25" t="s">
        <v>96</v>
      </c>
      <c r="H493" s="26">
        <v>42317</v>
      </c>
      <c r="I493" s="25">
        <v>1173</v>
      </c>
      <c r="J493" s="25" t="s">
        <v>156</v>
      </c>
      <c r="K493" s="27">
        <v>3790815.6549999998</v>
      </c>
      <c r="L493" s="25">
        <v>215</v>
      </c>
      <c r="M493" s="27">
        <v>50.248465116279064</v>
      </c>
      <c r="N493" s="27">
        <v>50.206500000000005</v>
      </c>
      <c r="O493" s="27">
        <v>67.351388020990257</v>
      </c>
      <c r="P493" s="27">
        <v>2055.1129999999998</v>
      </c>
      <c r="Q493" s="27">
        <v>1871.4559999999999</v>
      </c>
      <c r="R493" s="27">
        <v>441849.28899999993</v>
      </c>
      <c r="S493" s="27">
        <f t="shared" si="7"/>
        <v>0.11655784116466089</v>
      </c>
    </row>
    <row r="494" spans="1:19" x14ac:dyDescent="0.25">
      <c r="A494" s="19">
        <v>487</v>
      </c>
      <c r="B494" s="19" t="s">
        <v>61</v>
      </c>
      <c r="C494" s="19" t="s">
        <v>98</v>
      </c>
      <c r="D494" s="19" t="s">
        <v>108</v>
      </c>
      <c r="E494" s="25" t="s">
        <v>109</v>
      </c>
      <c r="F494" s="25" t="s">
        <v>801</v>
      </c>
      <c r="G494" s="25" t="s">
        <v>96</v>
      </c>
      <c r="H494" s="26">
        <v>42320</v>
      </c>
      <c r="I494" s="25">
        <v>1174</v>
      </c>
      <c r="J494" s="25" t="s">
        <v>284</v>
      </c>
      <c r="K494" s="27">
        <v>3034921.9350000001</v>
      </c>
      <c r="L494" s="25">
        <v>179</v>
      </c>
      <c r="M494" s="27">
        <v>52.049782122905036</v>
      </c>
      <c r="N494" s="27">
        <v>54.572499999999998</v>
      </c>
      <c r="O494" s="27">
        <v>62.472417872179435</v>
      </c>
      <c r="P494" s="27">
        <v>2190.2040000000002</v>
      </c>
      <c r="Q494" s="27">
        <v>2239.0250000000001</v>
      </c>
      <c r="R494" s="27">
        <v>392046.48799999995</v>
      </c>
      <c r="S494" s="27">
        <f t="shared" si="7"/>
        <v>0.12917844227845021</v>
      </c>
    </row>
    <row r="495" spans="1:19" x14ac:dyDescent="0.25">
      <c r="A495" s="19">
        <v>488</v>
      </c>
      <c r="B495" s="19" t="s">
        <v>61</v>
      </c>
      <c r="C495" s="19" t="s">
        <v>98</v>
      </c>
      <c r="D495" s="19" t="s">
        <v>108</v>
      </c>
      <c r="E495" s="25" t="s">
        <v>109</v>
      </c>
      <c r="F495" s="25" t="s">
        <v>802</v>
      </c>
      <c r="G495" s="25" t="s">
        <v>97</v>
      </c>
      <c r="H495" s="26">
        <v>42320</v>
      </c>
      <c r="I495" s="25">
        <v>1180</v>
      </c>
      <c r="J495" s="25" t="s">
        <v>223</v>
      </c>
      <c r="K495" s="27">
        <v>3882799.1320000002</v>
      </c>
      <c r="L495" s="25">
        <v>161</v>
      </c>
      <c r="M495" s="27">
        <v>38.771515527950299</v>
      </c>
      <c r="N495" s="27">
        <v>37.029499999999999</v>
      </c>
      <c r="O495" s="27">
        <v>65.735764935736043</v>
      </c>
      <c r="P495" s="27">
        <v>1341.568</v>
      </c>
      <c r="Q495" s="27">
        <v>996.28899999999999</v>
      </c>
      <c r="R495" s="27">
        <v>215992.43599999999</v>
      </c>
      <c r="S495" s="27">
        <f t="shared" si="7"/>
        <v>5.562802211937859E-2</v>
      </c>
    </row>
    <row r="496" spans="1:19" x14ac:dyDescent="0.25">
      <c r="A496" s="19">
        <v>489</v>
      </c>
      <c r="B496" s="19" t="s">
        <v>61</v>
      </c>
      <c r="C496" s="19" t="s">
        <v>98</v>
      </c>
      <c r="D496" s="19" t="s">
        <v>108</v>
      </c>
      <c r="E496" s="25" t="s">
        <v>109</v>
      </c>
      <c r="F496" s="25" t="s">
        <v>846</v>
      </c>
      <c r="G496" s="25" t="s">
        <v>97</v>
      </c>
      <c r="H496" s="26">
        <v>42319</v>
      </c>
      <c r="I496" s="25">
        <v>3516</v>
      </c>
      <c r="J496" s="25" t="s">
        <v>189</v>
      </c>
      <c r="K496" s="27">
        <v>4311238</v>
      </c>
      <c r="L496" s="25">
        <v>220</v>
      </c>
      <c r="M496" s="27">
        <v>58.194997727272735</v>
      </c>
      <c r="N496" s="27">
        <v>58.27975</v>
      </c>
      <c r="O496" s="27">
        <v>76.091445287539742</v>
      </c>
      <c r="P496" s="27">
        <v>2733.1</v>
      </c>
      <c r="Q496" s="27">
        <v>2498.308</v>
      </c>
      <c r="R496" s="27">
        <v>601281.946</v>
      </c>
      <c r="S496" s="27">
        <f t="shared" si="7"/>
        <v>0.139468511364949</v>
      </c>
    </row>
    <row r="497" spans="1:19" x14ac:dyDescent="0.25">
      <c r="A497" s="19">
        <v>490</v>
      </c>
      <c r="B497" s="19" t="s">
        <v>61</v>
      </c>
      <c r="C497" s="19" t="s">
        <v>98</v>
      </c>
      <c r="D497" s="19" t="s">
        <v>108</v>
      </c>
      <c r="E497" s="25" t="s">
        <v>109</v>
      </c>
      <c r="F497" s="25" t="s">
        <v>847</v>
      </c>
      <c r="G497" s="25" t="s">
        <v>96</v>
      </c>
      <c r="H497" s="26">
        <v>42318</v>
      </c>
      <c r="I497" s="25">
        <v>3518</v>
      </c>
      <c r="J497" s="25" t="s">
        <v>833</v>
      </c>
      <c r="K497" s="16">
        <v>3973253.9849999999</v>
      </c>
      <c r="L497" s="25">
        <v>80</v>
      </c>
      <c r="M497" s="27">
        <v>72.800599999999989</v>
      </c>
      <c r="N497" s="27">
        <v>76.61099999999999</v>
      </c>
      <c r="O497" s="27">
        <v>92.984627209096843</v>
      </c>
      <c r="P497" s="27">
        <v>4423.8869999999997</v>
      </c>
      <c r="Q497" s="27">
        <v>4262.9930000000004</v>
      </c>
      <c r="R497" s="27">
        <v>353910.9470000001</v>
      </c>
      <c r="S497" s="27">
        <f t="shared" si="7"/>
        <v>8.9073325877504939E-2</v>
      </c>
    </row>
    <row r="498" spans="1:19" x14ac:dyDescent="0.25">
      <c r="A498" s="19">
        <v>491</v>
      </c>
      <c r="B498" s="19" t="s">
        <v>61</v>
      </c>
      <c r="C498" s="19" t="s">
        <v>98</v>
      </c>
      <c r="D498" s="19" t="s">
        <v>108</v>
      </c>
      <c r="E498" s="25" t="s">
        <v>109</v>
      </c>
      <c r="F498" s="25" t="s">
        <v>848</v>
      </c>
      <c r="G498" s="25" t="s">
        <v>96</v>
      </c>
      <c r="H498" s="26">
        <v>42322</v>
      </c>
      <c r="I498" s="25">
        <v>3519</v>
      </c>
      <c r="J498" s="25" t="s">
        <v>181</v>
      </c>
      <c r="K498" s="27">
        <v>4949433.3590000002</v>
      </c>
      <c r="L498" s="25">
        <v>286</v>
      </c>
      <c r="M498" s="27">
        <v>55.464419580419552</v>
      </c>
      <c r="N498" s="27">
        <v>55.076250000000002</v>
      </c>
      <c r="O498" s="27">
        <v>67.4212488806631</v>
      </c>
      <c r="P498" s="27">
        <v>2411.8879999999999</v>
      </c>
      <c r="Q498" s="27">
        <v>2272.5155</v>
      </c>
      <c r="R498" s="27">
        <v>689799.995</v>
      </c>
      <c r="S498" s="27">
        <f t="shared" si="7"/>
        <v>0.1393694883770229</v>
      </c>
    </row>
    <row r="499" spans="1:19" x14ac:dyDescent="0.25">
      <c r="A499" s="19">
        <v>492</v>
      </c>
      <c r="B499" s="19" t="s">
        <v>61</v>
      </c>
      <c r="C499" s="19" t="s">
        <v>98</v>
      </c>
      <c r="D499" s="19" t="s">
        <v>108</v>
      </c>
      <c r="E499" s="25" t="s">
        <v>109</v>
      </c>
      <c r="F499" s="25" t="s">
        <v>849</v>
      </c>
      <c r="G499" s="25" t="s">
        <v>97</v>
      </c>
      <c r="H499" s="26">
        <v>42319</v>
      </c>
      <c r="I499" s="25">
        <v>3520</v>
      </c>
      <c r="J499" s="25" t="s">
        <v>348</v>
      </c>
      <c r="K499" s="27">
        <v>4705080.165</v>
      </c>
      <c r="L499" s="25">
        <v>210</v>
      </c>
      <c r="M499" s="27">
        <v>66.149002380952382</v>
      </c>
      <c r="N499" s="27">
        <v>68.661000000000001</v>
      </c>
      <c r="O499" s="27">
        <v>85.539705992049662</v>
      </c>
      <c r="P499" s="27">
        <v>3608.9589999999998</v>
      </c>
      <c r="Q499" s="27">
        <v>3536.7219999999998</v>
      </c>
      <c r="R499" s="27">
        <v>757881.40099999984</v>
      </c>
      <c r="S499" s="27">
        <f t="shared" si="7"/>
        <v>0.16107725573683182</v>
      </c>
    </row>
    <row r="500" spans="1:19" x14ac:dyDescent="0.25">
      <c r="A500" s="19">
        <v>493</v>
      </c>
      <c r="B500" s="19" t="s">
        <v>61</v>
      </c>
      <c r="C500" s="19" t="s">
        <v>98</v>
      </c>
      <c r="D500" s="19" t="s">
        <v>108</v>
      </c>
      <c r="E500" s="25" t="s">
        <v>109</v>
      </c>
      <c r="F500" s="25" t="s">
        <v>850</v>
      </c>
      <c r="G500" s="25" t="s">
        <v>97</v>
      </c>
      <c r="H500" s="26">
        <v>42336</v>
      </c>
      <c r="I500" s="25">
        <v>3578</v>
      </c>
      <c r="J500" s="25" t="s">
        <v>265</v>
      </c>
      <c r="K500" s="27">
        <v>3420323.9279999998</v>
      </c>
      <c r="L500" s="25">
        <v>217</v>
      </c>
      <c r="M500" s="27">
        <v>42.038677419354833</v>
      </c>
      <c r="N500" s="27">
        <v>42.061</v>
      </c>
      <c r="O500" s="27">
        <v>58.651293935094735</v>
      </c>
      <c r="P500" s="27">
        <v>1488.518</v>
      </c>
      <c r="Q500" s="27">
        <v>1289.8779999999999</v>
      </c>
      <c r="R500" s="27">
        <v>323008.47100000008</v>
      </c>
      <c r="S500" s="27">
        <f t="shared" si="7"/>
        <v>9.4437976577521426E-2</v>
      </c>
    </row>
    <row r="501" spans="1:19" x14ac:dyDescent="0.25">
      <c r="A501" s="19">
        <v>494</v>
      </c>
      <c r="B501" s="19" t="s">
        <v>58</v>
      </c>
      <c r="C501" s="19" t="s">
        <v>95</v>
      </c>
      <c r="D501" s="20" t="s">
        <v>111</v>
      </c>
      <c r="E501" s="25" t="s">
        <v>112</v>
      </c>
      <c r="F501" s="25" t="s">
        <v>908</v>
      </c>
      <c r="G501" s="25" t="s">
        <v>96</v>
      </c>
      <c r="H501" s="26">
        <v>42237</v>
      </c>
      <c r="I501" s="25">
        <v>13</v>
      </c>
      <c r="J501" s="25" t="s">
        <v>304</v>
      </c>
      <c r="K501" s="27">
        <v>4832467.0350000001</v>
      </c>
      <c r="L501" s="25">
        <v>102</v>
      </c>
      <c r="M501" s="27">
        <v>64.632838235294116</v>
      </c>
      <c r="N501" s="27">
        <v>61.501249999999999</v>
      </c>
      <c r="O501" s="27">
        <v>95.668318933629394</v>
      </c>
      <c r="P501" s="27">
        <v>3688.2849999999999</v>
      </c>
      <c r="Q501" s="27">
        <v>2824.57</v>
      </c>
      <c r="R501" s="27">
        <v>376205.04499999998</v>
      </c>
      <c r="S501" s="27">
        <f t="shared" si="7"/>
        <v>7.7849479836130941E-2</v>
      </c>
    </row>
    <row r="502" spans="1:19" x14ac:dyDescent="0.25">
      <c r="A502" s="19">
        <v>495</v>
      </c>
      <c r="B502" s="19" t="s">
        <v>58</v>
      </c>
      <c r="C502" s="19" t="s">
        <v>95</v>
      </c>
      <c r="D502" s="20" t="s">
        <v>111</v>
      </c>
      <c r="E502" s="25" t="s">
        <v>112</v>
      </c>
      <c r="F502" s="25" t="s">
        <v>909</v>
      </c>
      <c r="G502" s="25" t="s">
        <v>97</v>
      </c>
      <c r="H502" s="26">
        <v>42237</v>
      </c>
      <c r="I502" s="25">
        <v>16</v>
      </c>
      <c r="J502" s="32" t="s">
        <v>1015</v>
      </c>
      <c r="K502" s="27">
        <v>3492506.0090000001</v>
      </c>
      <c r="L502" s="25">
        <v>208</v>
      </c>
      <c r="M502" s="27">
        <v>55.383233173076924</v>
      </c>
      <c r="N502" s="27">
        <v>57.457250000000002</v>
      </c>
      <c r="O502" s="27">
        <v>80.716874286708958</v>
      </c>
      <c r="P502" s="27">
        <v>2739.5349999999999</v>
      </c>
      <c r="Q502" s="27">
        <v>2443.6975000000002</v>
      </c>
      <c r="R502" s="27">
        <v>569823.33100000012</v>
      </c>
      <c r="S502" s="27">
        <f t="shared" si="7"/>
        <v>0.16315600589708251</v>
      </c>
    </row>
    <row r="503" spans="1:19" x14ac:dyDescent="0.25">
      <c r="A503" s="19">
        <v>496</v>
      </c>
      <c r="B503" s="19" t="s">
        <v>58</v>
      </c>
      <c r="C503" s="19" t="s">
        <v>95</v>
      </c>
      <c r="D503" s="20" t="s">
        <v>111</v>
      </c>
      <c r="E503" s="25" t="s">
        <v>112</v>
      </c>
      <c r="F503" s="25" t="s">
        <v>927</v>
      </c>
      <c r="G503" s="25" t="s">
        <v>97</v>
      </c>
      <c r="H503" s="26">
        <v>42237</v>
      </c>
      <c r="I503" s="25">
        <v>25</v>
      </c>
      <c r="J503" s="25" t="s">
        <v>307</v>
      </c>
      <c r="K503" s="27">
        <v>3055527.5989999999</v>
      </c>
      <c r="L503" s="25">
        <v>124</v>
      </c>
      <c r="M503" s="27">
        <v>63.782786290322612</v>
      </c>
      <c r="N503" s="27">
        <v>67.971749999999986</v>
      </c>
      <c r="O503" s="27">
        <v>110.42382766927915</v>
      </c>
      <c r="P503" s="27">
        <v>4263.6273709677416</v>
      </c>
      <c r="Q503" s="27">
        <v>3416.5785000000001</v>
      </c>
      <c r="R503" s="27">
        <v>528689.79399999999</v>
      </c>
      <c r="S503" s="27">
        <f t="shared" si="7"/>
        <v>0.17302733386307076</v>
      </c>
    </row>
    <row r="504" spans="1:19" x14ac:dyDescent="0.25">
      <c r="A504" s="19">
        <v>497</v>
      </c>
      <c r="B504" s="19" t="s">
        <v>58</v>
      </c>
      <c r="C504" s="19" t="s">
        <v>95</v>
      </c>
      <c r="D504" s="20" t="s">
        <v>111</v>
      </c>
      <c r="E504" s="25" t="s">
        <v>112</v>
      </c>
      <c r="F504" s="25" t="s">
        <v>931</v>
      </c>
      <c r="G504" s="25" t="s">
        <v>96</v>
      </c>
      <c r="H504" s="26">
        <v>42237</v>
      </c>
      <c r="I504" s="25">
        <v>30</v>
      </c>
      <c r="J504" s="32" t="s">
        <v>1015</v>
      </c>
      <c r="K504" s="27">
        <v>5069164.7410000004</v>
      </c>
      <c r="L504" s="25">
        <v>119</v>
      </c>
      <c r="M504" s="27">
        <v>75.197605042016818</v>
      </c>
      <c r="N504" s="27">
        <v>79.012499999999989</v>
      </c>
      <c r="O504" s="27">
        <v>92.799794766610887</v>
      </c>
      <c r="P504" s="27">
        <v>4587.8540000000003</v>
      </c>
      <c r="Q504" s="27">
        <v>4787.7430000000004</v>
      </c>
      <c r="R504" s="27">
        <v>545954.63100000005</v>
      </c>
      <c r="S504" s="27">
        <f t="shared" si="7"/>
        <v>0.10770110242901652</v>
      </c>
    </row>
    <row r="505" spans="1:19" x14ac:dyDescent="0.25">
      <c r="A505" s="19">
        <v>498</v>
      </c>
      <c r="B505" s="19" t="s">
        <v>58</v>
      </c>
      <c r="C505" s="19" t="s">
        <v>95</v>
      </c>
      <c r="D505" s="20" t="s">
        <v>111</v>
      </c>
      <c r="E505" s="25" t="s">
        <v>112</v>
      </c>
      <c r="F505" s="25" t="s">
        <v>938</v>
      </c>
      <c r="G505" s="25" t="s">
        <v>96</v>
      </c>
      <c r="H505" s="26">
        <v>42238</v>
      </c>
      <c r="I505" s="25">
        <v>34</v>
      </c>
      <c r="J505" s="25" t="s">
        <v>448</v>
      </c>
      <c r="K505" s="27">
        <v>3084707.2280000001</v>
      </c>
      <c r="L505" s="25">
        <v>113</v>
      </c>
      <c r="M505" s="27">
        <v>54.640101769911496</v>
      </c>
      <c r="N505" s="27">
        <v>53.6935</v>
      </c>
      <c r="O505" s="27">
        <v>82.381815123414427</v>
      </c>
      <c r="P505" s="27">
        <v>2598.7489999999998</v>
      </c>
      <c r="Q505" s="27">
        <v>2072.3939999999998</v>
      </c>
      <c r="R505" s="27">
        <v>293658.65699999995</v>
      </c>
      <c r="S505" s="27">
        <f t="shared" si="7"/>
        <v>9.5198226377676817E-2</v>
      </c>
    </row>
    <row r="506" spans="1:19" x14ac:dyDescent="0.25">
      <c r="A506" s="19">
        <v>499</v>
      </c>
      <c r="B506" s="19" t="s">
        <v>58</v>
      </c>
      <c r="C506" s="19" t="s">
        <v>95</v>
      </c>
      <c r="D506" s="20" t="s">
        <v>111</v>
      </c>
      <c r="E506" s="25" t="s">
        <v>112</v>
      </c>
      <c r="F506" s="25" t="s">
        <v>939</v>
      </c>
      <c r="G506" s="25" t="s">
        <v>97</v>
      </c>
      <c r="H506" s="26">
        <v>42230</v>
      </c>
      <c r="I506" s="25">
        <v>35</v>
      </c>
      <c r="J506" s="25" t="s">
        <v>208</v>
      </c>
      <c r="K506" s="27">
        <v>4468851.3150000004</v>
      </c>
      <c r="L506" s="25">
        <v>220</v>
      </c>
      <c r="M506" s="27">
        <v>69.10710909090912</v>
      </c>
      <c r="N506" s="27">
        <v>70.938000000000002</v>
      </c>
      <c r="O506" s="27">
        <v>96.803557400381109</v>
      </c>
      <c r="P506" s="27">
        <v>4012.759</v>
      </c>
      <c r="Q506" s="27">
        <v>3661.462</v>
      </c>
      <c r="R506" s="27">
        <v>882807.06099999952</v>
      </c>
      <c r="S506" s="27">
        <f t="shared" si="7"/>
        <v>0.19754675167571545</v>
      </c>
    </row>
    <row r="507" spans="1:19" x14ac:dyDescent="0.25">
      <c r="A507" s="19">
        <v>500</v>
      </c>
      <c r="B507" s="19" t="s">
        <v>58</v>
      </c>
      <c r="C507" s="19" t="s">
        <v>95</v>
      </c>
      <c r="D507" s="20" t="s">
        <v>111</v>
      </c>
      <c r="E507" s="25" t="s">
        <v>112</v>
      </c>
      <c r="F507" s="25" t="s">
        <v>942</v>
      </c>
      <c r="G507" s="25" t="s">
        <v>97</v>
      </c>
      <c r="H507" s="26">
        <v>42230</v>
      </c>
      <c r="I507" s="25">
        <v>37</v>
      </c>
      <c r="J507" s="25" t="s">
        <v>307</v>
      </c>
      <c r="K507" s="27">
        <v>4011805.41</v>
      </c>
      <c r="L507" s="25">
        <v>152</v>
      </c>
      <c r="M507" s="27">
        <v>75.448101973684174</v>
      </c>
      <c r="N507" s="27">
        <v>78.009500000000003</v>
      </c>
      <c r="O507" s="27">
        <v>96.507688693336618</v>
      </c>
      <c r="P507" s="27">
        <v>4712.8010000000004</v>
      </c>
      <c r="Q507" s="27">
        <v>4616.4434999999994</v>
      </c>
      <c r="R507" s="27">
        <v>715947.62600000016</v>
      </c>
      <c r="S507" s="27">
        <f t="shared" si="7"/>
        <v>0.17846020752038422</v>
      </c>
    </row>
    <row r="508" spans="1:19" x14ac:dyDescent="0.25">
      <c r="A508" s="19">
        <v>501</v>
      </c>
      <c r="B508" s="19" t="s">
        <v>58</v>
      </c>
      <c r="C508" s="19" t="s">
        <v>95</v>
      </c>
      <c r="D508" s="20" t="s">
        <v>111</v>
      </c>
      <c r="E508" s="25" t="s">
        <v>112</v>
      </c>
      <c r="F508" s="25" t="s">
        <v>943</v>
      </c>
      <c r="G508" s="25" t="s">
        <v>96</v>
      </c>
      <c r="H508" s="26">
        <v>42230</v>
      </c>
      <c r="I508" s="25">
        <v>38</v>
      </c>
      <c r="J508" s="25" t="s">
        <v>320</v>
      </c>
      <c r="K508" s="27">
        <v>5505972.1349999998</v>
      </c>
      <c r="L508" s="25">
        <v>127</v>
      </c>
      <c r="M508" s="27">
        <v>63.545862204724436</v>
      </c>
      <c r="N508" s="27">
        <v>68.529499999999999</v>
      </c>
      <c r="O508" s="27">
        <v>81.807835530075153</v>
      </c>
      <c r="P508" s="27">
        <v>3394.1480000000001</v>
      </c>
      <c r="Q508" s="27">
        <v>3472.893</v>
      </c>
      <c r="R508" s="27">
        <v>431056.73200000019</v>
      </c>
      <c r="S508" s="27">
        <f t="shared" si="7"/>
        <v>7.8288941794653705E-2</v>
      </c>
    </row>
    <row r="509" spans="1:19" x14ac:dyDescent="0.25">
      <c r="A509" s="19">
        <v>502</v>
      </c>
      <c r="B509" s="19" t="s">
        <v>58</v>
      </c>
      <c r="C509" s="19" t="s">
        <v>95</v>
      </c>
      <c r="D509" s="20" t="s">
        <v>111</v>
      </c>
      <c r="E509" s="25" t="s">
        <v>112</v>
      </c>
      <c r="F509" s="25" t="s">
        <v>946</v>
      </c>
      <c r="G509" s="25" t="s">
        <v>96</v>
      </c>
      <c r="H509" s="26">
        <v>42238</v>
      </c>
      <c r="I509" s="25">
        <v>40</v>
      </c>
      <c r="J509" s="25" t="s">
        <v>305</v>
      </c>
      <c r="K509" s="27">
        <v>5262897.3839999996</v>
      </c>
      <c r="L509" s="25">
        <v>155</v>
      </c>
      <c r="M509" s="27">
        <v>72.378558064516113</v>
      </c>
      <c r="N509" s="27">
        <v>81.649499999999989</v>
      </c>
      <c r="O509" s="27">
        <v>117.29224080879222</v>
      </c>
      <c r="P509" s="27">
        <v>5251.1270000000004</v>
      </c>
      <c r="Q509" s="27">
        <v>4980.0460000000003</v>
      </c>
      <c r="R509" s="27">
        <v>813924.71299999999</v>
      </c>
      <c r="S509" s="27">
        <f t="shared" si="7"/>
        <v>0.15465335035306857</v>
      </c>
    </row>
    <row r="510" spans="1:19" x14ac:dyDescent="0.25">
      <c r="A510" s="19">
        <v>503</v>
      </c>
      <c r="B510" s="19" t="s">
        <v>58</v>
      </c>
      <c r="C510" s="19" t="s">
        <v>95</v>
      </c>
      <c r="D510" s="20" t="s">
        <v>111</v>
      </c>
      <c r="E510" s="25" t="s">
        <v>112</v>
      </c>
      <c r="F510" s="25" t="s">
        <v>947</v>
      </c>
      <c r="G510" s="25" t="s">
        <v>96</v>
      </c>
      <c r="H510" s="26">
        <v>42227</v>
      </c>
      <c r="I510" s="25">
        <v>41</v>
      </c>
      <c r="J510" s="25" t="s">
        <v>134</v>
      </c>
      <c r="K510" s="27">
        <v>4583659.1289999997</v>
      </c>
      <c r="L510" s="25">
        <v>174</v>
      </c>
      <c r="M510" s="27">
        <v>46.167086206896542</v>
      </c>
      <c r="N510" s="27">
        <v>45.875250000000001</v>
      </c>
      <c r="O510" s="27">
        <v>71.099562995568959</v>
      </c>
      <c r="P510" s="27">
        <v>1910.3530000000001</v>
      </c>
      <c r="Q510" s="27">
        <v>1588.7184999999999</v>
      </c>
      <c r="R510" s="27">
        <v>332401.45799999998</v>
      </c>
      <c r="S510" s="27">
        <f t="shared" si="7"/>
        <v>7.2518799641307266E-2</v>
      </c>
    </row>
    <row r="511" spans="1:19" x14ac:dyDescent="0.25">
      <c r="A511" s="19">
        <v>504</v>
      </c>
      <c r="B511" s="19" t="s">
        <v>58</v>
      </c>
      <c r="C511" s="19" t="s">
        <v>95</v>
      </c>
      <c r="D511" s="20" t="s">
        <v>111</v>
      </c>
      <c r="E511" s="25" t="s">
        <v>112</v>
      </c>
      <c r="F511" s="25" t="s">
        <v>962</v>
      </c>
      <c r="G511" s="25" t="s">
        <v>97</v>
      </c>
      <c r="H511" s="26">
        <v>42227</v>
      </c>
      <c r="I511" s="25">
        <v>49</v>
      </c>
      <c r="J511" s="25" t="s">
        <v>307</v>
      </c>
      <c r="K511" s="27">
        <v>2893454.085</v>
      </c>
      <c r="L511" s="25">
        <v>163</v>
      </c>
      <c r="M511" s="27">
        <v>56.008717791411065</v>
      </c>
      <c r="N511" s="27">
        <v>55.848500000000001</v>
      </c>
      <c r="O511" s="27">
        <v>93.471590432632439</v>
      </c>
      <c r="P511" s="27">
        <v>3082.6574601226994</v>
      </c>
      <c r="Q511" s="27">
        <v>2283.8679999999999</v>
      </c>
      <c r="R511" s="27">
        <v>502473.16600000003</v>
      </c>
      <c r="S511" s="27">
        <f t="shared" si="7"/>
        <v>0.17365859323805377</v>
      </c>
    </row>
    <row r="512" spans="1:19" x14ac:dyDescent="0.25">
      <c r="A512" s="19">
        <v>505</v>
      </c>
      <c r="B512" s="19" t="s">
        <v>58</v>
      </c>
      <c r="C512" s="19" t="s">
        <v>95</v>
      </c>
      <c r="D512" s="20" t="s">
        <v>111</v>
      </c>
      <c r="E512" s="25" t="s">
        <v>112</v>
      </c>
      <c r="F512" s="25" t="s">
        <v>963</v>
      </c>
      <c r="G512" s="25" t="s">
        <v>96</v>
      </c>
      <c r="H512" s="26">
        <v>42238</v>
      </c>
      <c r="I512" s="25">
        <v>52</v>
      </c>
      <c r="J512" s="25" t="s">
        <v>249</v>
      </c>
      <c r="K512" s="27">
        <v>4399459.0310000004</v>
      </c>
      <c r="L512" s="25">
        <v>106</v>
      </c>
      <c r="M512" s="27">
        <v>60.755882075471689</v>
      </c>
      <c r="N512" s="27">
        <v>58.4465</v>
      </c>
      <c r="O512" s="27">
        <v>95.692851641934681</v>
      </c>
      <c r="P512" s="27">
        <v>3321.4949999999999</v>
      </c>
      <c r="Q512" s="27">
        <v>2470.3024999999998</v>
      </c>
      <c r="R512" s="27">
        <v>352078.46400000015</v>
      </c>
      <c r="S512" s="27">
        <f t="shared" si="7"/>
        <v>8.0027671929467303E-2</v>
      </c>
    </row>
    <row r="513" spans="1:19" x14ac:dyDescent="0.25">
      <c r="A513" s="19">
        <v>506</v>
      </c>
      <c r="B513" s="19" t="s">
        <v>58</v>
      </c>
      <c r="C513" s="19" t="s">
        <v>95</v>
      </c>
      <c r="D513" s="20" t="s">
        <v>111</v>
      </c>
      <c r="E513" s="25" t="s">
        <v>112</v>
      </c>
      <c r="F513" s="25" t="s">
        <v>964</v>
      </c>
      <c r="G513" s="25" t="s">
        <v>96</v>
      </c>
      <c r="H513" s="26">
        <v>42228</v>
      </c>
      <c r="I513" s="25">
        <v>53</v>
      </c>
      <c r="J513" s="25" t="s">
        <v>143</v>
      </c>
      <c r="K513" s="27">
        <v>3000500.8280000002</v>
      </c>
      <c r="L513" s="25">
        <v>265</v>
      </c>
      <c r="M513" s="27">
        <v>45.936818867924522</v>
      </c>
      <c r="N513" s="27">
        <v>47.0745</v>
      </c>
      <c r="O513" s="27">
        <v>63.438743005857688</v>
      </c>
      <c r="P513" s="27">
        <v>1741.492</v>
      </c>
      <c r="Q513" s="27">
        <v>1587.902</v>
      </c>
      <c r="R513" s="27">
        <v>461495.26500000007</v>
      </c>
      <c r="S513" s="27">
        <f t="shared" si="7"/>
        <v>0.15380607820315523</v>
      </c>
    </row>
    <row r="514" spans="1:19" x14ac:dyDescent="0.25">
      <c r="A514" s="19">
        <v>507</v>
      </c>
      <c r="B514" s="19" t="s">
        <v>58</v>
      </c>
      <c r="C514" s="19" t="s">
        <v>95</v>
      </c>
      <c r="D514" s="20" t="s">
        <v>111</v>
      </c>
      <c r="E514" s="25" t="s">
        <v>112</v>
      </c>
      <c r="F514" s="25" t="s">
        <v>965</v>
      </c>
      <c r="G514" s="25" t="s">
        <v>97</v>
      </c>
      <c r="H514" s="26">
        <v>42227</v>
      </c>
      <c r="I514" s="25">
        <v>54</v>
      </c>
      <c r="J514" s="25" t="s">
        <v>348</v>
      </c>
      <c r="K514" s="27">
        <v>3010654.1919999998</v>
      </c>
      <c r="L514" s="25">
        <v>103</v>
      </c>
      <c r="M514" s="27">
        <v>62.568529126213612</v>
      </c>
      <c r="N514" s="27">
        <v>59.742500000000007</v>
      </c>
      <c r="O514" s="27">
        <v>106.61333542281524</v>
      </c>
      <c r="P514" s="27">
        <v>3725.5499708737866</v>
      </c>
      <c r="Q514" s="27">
        <v>2441.2370000000001</v>
      </c>
      <c r="R514" s="27">
        <v>383731.647</v>
      </c>
      <c r="S514" s="27">
        <f t="shared" si="7"/>
        <v>0.12745789537026975</v>
      </c>
    </row>
    <row r="515" spans="1:19" x14ac:dyDescent="0.25">
      <c r="A515" s="19">
        <v>508</v>
      </c>
      <c r="B515" s="19" t="s">
        <v>58</v>
      </c>
      <c r="C515" s="19" t="s">
        <v>95</v>
      </c>
      <c r="D515" s="20" t="s">
        <v>111</v>
      </c>
      <c r="E515" s="25" t="s">
        <v>112</v>
      </c>
      <c r="F515" s="25" t="s">
        <v>907</v>
      </c>
      <c r="G515" s="25" t="s">
        <v>97</v>
      </c>
      <c r="H515" s="26">
        <v>42238</v>
      </c>
      <c r="I515" s="25">
        <v>109</v>
      </c>
      <c r="J515" s="25" t="s">
        <v>205</v>
      </c>
      <c r="K515" s="27">
        <v>2993335.92</v>
      </c>
      <c r="L515" s="25">
        <v>107</v>
      </c>
      <c r="M515" s="27">
        <v>65.294485981308426</v>
      </c>
      <c r="N515" s="27">
        <v>64.692999999999998</v>
      </c>
      <c r="O515" s="27">
        <v>95.456199299429059</v>
      </c>
      <c r="P515" s="27">
        <v>3719.1804392523363</v>
      </c>
      <c r="Q515" s="27">
        <v>3120.8629999999998</v>
      </c>
      <c r="R515" s="27">
        <v>397952.30699999997</v>
      </c>
      <c r="S515" s="27">
        <f t="shared" si="7"/>
        <v>0.13294609012676398</v>
      </c>
    </row>
    <row r="516" spans="1:19" x14ac:dyDescent="0.25">
      <c r="A516" s="19">
        <v>509</v>
      </c>
      <c r="B516" s="19" t="s">
        <v>58</v>
      </c>
      <c r="C516" s="19" t="s">
        <v>95</v>
      </c>
      <c r="D516" s="20" t="s">
        <v>111</v>
      </c>
      <c r="E516" s="25" t="s">
        <v>112</v>
      </c>
      <c r="F516" s="25" t="s">
        <v>910</v>
      </c>
      <c r="G516" s="25" t="s">
        <v>97</v>
      </c>
      <c r="H516" s="26">
        <v>42238</v>
      </c>
      <c r="I516" s="25">
        <v>189</v>
      </c>
      <c r="J516" s="25" t="s">
        <v>293</v>
      </c>
      <c r="K516" s="27">
        <v>3410744.7179999999</v>
      </c>
      <c r="L516" s="25">
        <v>200</v>
      </c>
      <c r="M516" s="27">
        <v>53.088100000000026</v>
      </c>
      <c r="N516" s="27">
        <v>54.905999999999999</v>
      </c>
      <c r="O516" s="27">
        <v>77.108830681507897</v>
      </c>
      <c r="P516" s="27">
        <v>2495.4260349999981</v>
      </c>
      <c r="Q516" s="27">
        <v>2312.8815</v>
      </c>
      <c r="R516" s="27">
        <v>499085.20699999959</v>
      </c>
      <c r="S516" s="27">
        <f t="shared" si="7"/>
        <v>0.14632734146478552</v>
      </c>
    </row>
    <row r="517" spans="1:19" x14ac:dyDescent="0.25">
      <c r="A517" s="19">
        <v>510</v>
      </c>
      <c r="B517" s="19" t="s">
        <v>58</v>
      </c>
      <c r="C517" s="19" t="s">
        <v>95</v>
      </c>
      <c r="D517" s="20" t="s">
        <v>111</v>
      </c>
      <c r="E517" s="25" t="s">
        <v>112</v>
      </c>
      <c r="F517" s="25" t="s">
        <v>911</v>
      </c>
      <c r="G517" s="25" t="s">
        <v>96</v>
      </c>
      <c r="H517" s="26">
        <v>42233</v>
      </c>
      <c r="I517" s="25">
        <v>215</v>
      </c>
      <c r="J517" s="25" t="s">
        <v>347</v>
      </c>
      <c r="K517" s="27">
        <v>5839699.176</v>
      </c>
      <c r="L517" s="25">
        <v>182</v>
      </c>
      <c r="M517" s="27">
        <v>68.990409340659312</v>
      </c>
      <c r="N517" s="27">
        <v>74.300000000000011</v>
      </c>
      <c r="O517" s="27">
        <v>103.03380042140466</v>
      </c>
      <c r="P517" s="27">
        <v>4310.518</v>
      </c>
      <c r="Q517" s="27">
        <v>3999.7435</v>
      </c>
      <c r="R517" s="27">
        <v>784514.23399999971</v>
      </c>
      <c r="S517" s="27">
        <f t="shared" si="7"/>
        <v>0.13434154917160748</v>
      </c>
    </row>
    <row r="518" spans="1:19" x14ac:dyDescent="0.25">
      <c r="A518" s="19">
        <v>511</v>
      </c>
      <c r="B518" s="19" t="s">
        <v>58</v>
      </c>
      <c r="C518" s="19" t="s">
        <v>95</v>
      </c>
      <c r="D518" s="20" t="s">
        <v>111</v>
      </c>
      <c r="E518" s="25" t="s">
        <v>112</v>
      </c>
      <c r="F518" s="25" t="s">
        <v>911</v>
      </c>
      <c r="G518" s="25" t="s">
        <v>96</v>
      </c>
      <c r="H518" s="26">
        <v>42233</v>
      </c>
      <c r="I518" s="25">
        <v>215</v>
      </c>
      <c r="J518" s="25" t="s">
        <v>347</v>
      </c>
      <c r="K518" s="27">
        <v>4414116.7819999997</v>
      </c>
      <c r="L518" s="25">
        <v>209</v>
      </c>
      <c r="M518" s="27">
        <v>51.046538277511949</v>
      </c>
      <c r="N518" s="27">
        <v>51.107500000000002</v>
      </c>
      <c r="O518" s="27">
        <v>93.059254306854072</v>
      </c>
      <c r="P518" s="27">
        <v>2565.904</v>
      </c>
      <c r="Q518" s="27">
        <v>1898.527</v>
      </c>
      <c r="R518" s="27">
        <v>536273.89700000023</v>
      </c>
      <c r="S518" s="27">
        <f t="shared" si="7"/>
        <v>0.12149064546430487</v>
      </c>
    </row>
    <row r="519" spans="1:19" x14ac:dyDescent="0.25">
      <c r="A519" s="19">
        <v>512</v>
      </c>
      <c r="B519" s="19" t="s">
        <v>58</v>
      </c>
      <c r="C519" s="19" t="s">
        <v>95</v>
      </c>
      <c r="D519" s="20" t="s">
        <v>111</v>
      </c>
      <c r="E519" s="25" t="s">
        <v>112</v>
      </c>
      <c r="F519" s="25" t="s">
        <v>912</v>
      </c>
      <c r="G519" s="25" t="s">
        <v>96</v>
      </c>
      <c r="H519" s="26">
        <v>42223</v>
      </c>
      <c r="I519" s="25">
        <v>217</v>
      </c>
      <c r="J519" s="25" t="s">
        <v>299</v>
      </c>
      <c r="K519" s="27">
        <v>3461734.463</v>
      </c>
      <c r="L519" s="25">
        <v>323</v>
      </c>
      <c r="M519" s="27">
        <v>36.65688854489165</v>
      </c>
      <c r="N519" s="27">
        <v>37.017000000000003</v>
      </c>
      <c r="O519" s="27">
        <v>44.933575673332548</v>
      </c>
      <c r="P519" s="27">
        <v>1064.53</v>
      </c>
      <c r="Q519" s="27">
        <v>1007.025</v>
      </c>
      <c r="R519" s="27">
        <v>343843.26999999984</v>
      </c>
      <c r="S519" s="27">
        <f t="shared" si="7"/>
        <v>9.9326876071834588E-2</v>
      </c>
    </row>
    <row r="520" spans="1:19" x14ac:dyDescent="0.25">
      <c r="A520" s="19">
        <v>513</v>
      </c>
      <c r="B520" s="19" t="s">
        <v>58</v>
      </c>
      <c r="C520" s="19" t="s">
        <v>95</v>
      </c>
      <c r="D520" s="20" t="s">
        <v>111</v>
      </c>
      <c r="E520" s="25" t="s">
        <v>112</v>
      </c>
      <c r="F520" s="25" t="s">
        <v>913</v>
      </c>
      <c r="G520" s="25" t="s">
        <v>96</v>
      </c>
      <c r="H520" s="26">
        <v>42227</v>
      </c>
      <c r="I520" s="25">
        <v>218</v>
      </c>
      <c r="J520" s="25" t="s">
        <v>156</v>
      </c>
      <c r="K520" s="27">
        <v>3759196.247</v>
      </c>
      <c r="L520" s="25">
        <v>220</v>
      </c>
      <c r="M520" s="27">
        <v>50.098352272727283</v>
      </c>
      <c r="N520" s="27">
        <v>51.400500000000001</v>
      </c>
      <c r="O520" s="27">
        <v>65.298366949825336</v>
      </c>
      <c r="P520" s="27">
        <v>2013.048</v>
      </c>
      <c r="Q520" s="27">
        <v>1920.115</v>
      </c>
      <c r="R520" s="27">
        <v>442870.54999999981</v>
      </c>
      <c r="S520" s="27">
        <f t="shared" ref="S520:S583" si="8">R520/K520</f>
        <v>0.11780990427233734</v>
      </c>
    </row>
    <row r="521" spans="1:19" x14ac:dyDescent="0.25">
      <c r="A521" s="19">
        <v>514</v>
      </c>
      <c r="B521" s="19" t="s">
        <v>58</v>
      </c>
      <c r="C521" s="19" t="s">
        <v>95</v>
      </c>
      <c r="D521" s="20" t="s">
        <v>111</v>
      </c>
      <c r="E521" s="25" t="s">
        <v>112</v>
      </c>
      <c r="F521" s="25" t="s">
        <v>914</v>
      </c>
      <c r="G521" s="25" t="s">
        <v>96</v>
      </c>
      <c r="H521" s="26">
        <v>42224</v>
      </c>
      <c r="I521" s="25">
        <v>219</v>
      </c>
      <c r="J521" s="25" t="s">
        <v>250</v>
      </c>
      <c r="K521" s="27">
        <v>4727556.5360000003</v>
      </c>
      <c r="L521" s="25">
        <v>121</v>
      </c>
      <c r="M521" s="27">
        <v>75.278425619834692</v>
      </c>
      <c r="N521" s="27">
        <v>72.548000000000002</v>
      </c>
      <c r="O521" s="27">
        <v>124.05458678130648</v>
      </c>
      <c r="P521" s="27">
        <v>5023.2060000000001</v>
      </c>
      <c r="Q521" s="27">
        <v>3990.058</v>
      </c>
      <c r="R521" s="27">
        <v>607807.88600000017</v>
      </c>
      <c r="S521" s="27">
        <f t="shared" si="8"/>
        <v>0.1285670264060487</v>
      </c>
    </row>
    <row r="522" spans="1:19" x14ac:dyDescent="0.25">
      <c r="A522" s="19">
        <v>515</v>
      </c>
      <c r="B522" s="19" t="s">
        <v>58</v>
      </c>
      <c r="C522" s="19" t="s">
        <v>95</v>
      </c>
      <c r="D522" s="20" t="s">
        <v>111</v>
      </c>
      <c r="E522" s="25" t="s">
        <v>112</v>
      </c>
      <c r="F522" s="25" t="s">
        <v>915</v>
      </c>
      <c r="G522" s="25" t="s">
        <v>96</v>
      </c>
      <c r="H522" s="26">
        <v>42223</v>
      </c>
      <c r="I522" s="25">
        <v>220</v>
      </c>
      <c r="J522" s="25" t="s">
        <v>279</v>
      </c>
      <c r="K522" s="27">
        <v>3710246.213</v>
      </c>
      <c r="L522" s="25">
        <v>153</v>
      </c>
      <c r="M522" s="27">
        <v>41.341467320261415</v>
      </c>
      <c r="N522" s="27">
        <v>37.301500000000004</v>
      </c>
      <c r="O522" s="27">
        <v>65.519252890527241</v>
      </c>
      <c r="P522" s="27">
        <v>1519.2</v>
      </c>
      <c r="Q522" s="27">
        <v>977.85199999999998</v>
      </c>
      <c r="R522" s="27">
        <v>232437.63100000008</v>
      </c>
      <c r="S522" s="27">
        <f t="shared" si="8"/>
        <v>6.2647494979061677E-2</v>
      </c>
    </row>
    <row r="523" spans="1:19" x14ac:dyDescent="0.25">
      <c r="A523" s="19">
        <v>516</v>
      </c>
      <c r="B523" s="19" t="s">
        <v>58</v>
      </c>
      <c r="C523" s="19" t="s">
        <v>95</v>
      </c>
      <c r="D523" s="20" t="s">
        <v>111</v>
      </c>
      <c r="E523" s="25" t="s">
        <v>112</v>
      </c>
      <c r="F523" s="25" t="s">
        <v>916</v>
      </c>
      <c r="G523" s="25" t="s">
        <v>96</v>
      </c>
      <c r="H523" s="26">
        <v>42223</v>
      </c>
      <c r="I523" s="25">
        <v>221</v>
      </c>
      <c r="J523" s="25" t="s">
        <v>279</v>
      </c>
      <c r="K523" s="27">
        <v>5468303.3439999996</v>
      </c>
      <c r="L523" s="25">
        <v>126</v>
      </c>
      <c r="M523" s="27">
        <v>69.355833333333322</v>
      </c>
      <c r="N523" s="27">
        <v>67.388500000000008</v>
      </c>
      <c r="O523" s="27">
        <v>100.2020686370917</v>
      </c>
      <c r="P523" s="27">
        <v>4201.4080000000004</v>
      </c>
      <c r="Q523" s="27">
        <v>3413.0320000000002</v>
      </c>
      <c r="R523" s="27">
        <v>529377.34699999972</v>
      </c>
      <c r="S523" s="27">
        <f t="shared" si="8"/>
        <v>9.6808335912975593E-2</v>
      </c>
    </row>
    <row r="524" spans="1:19" x14ac:dyDescent="0.25">
      <c r="A524" s="19">
        <v>517</v>
      </c>
      <c r="B524" s="19" t="s">
        <v>58</v>
      </c>
      <c r="C524" s="19" t="s">
        <v>95</v>
      </c>
      <c r="D524" s="20" t="s">
        <v>111</v>
      </c>
      <c r="E524" s="25" t="s">
        <v>112</v>
      </c>
      <c r="F524" s="25" t="s">
        <v>917</v>
      </c>
      <c r="G524" s="25" t="s">
        <v>97</v>
      </c>
      <c r="H524" s="26">
        <v>42233</v>
      </c>
      <c r="I524" s="25">
        <v>222</v>
      </c>
      <c r="J524" s="25" t="s">
        <v>307</v>
      </c>
      <c r="K524" s="27">
        <v>5637873.4630000005</v>
      </c>
      <c r="L524" s="25">
        <v>202</v>
      </c>
      <c r="M524" s="27">
        <v>60.575450495049523</v>
      </c>
      <c r="N524" s="27">
        <v>60.680250000000001</v>
      </c>
      <c r="O524" s="27">
        <v>112.08746595609597</v>
      </c>
      <c r="P524" s="27">
        <v>4074.5949999999998</v>
      </c>
      <c r="Q524" s="27">
        <v>2776.261</v>
      </c>
      <c r="R524" s="27">
        <v>823068.22699999996</v>
      </c>
      <c r="S524" s="27">
        <f t="shared" si="8"/>
        <v>0.14598912735477262</v>
      </c>
    </row>
    <row r="525" spans="1:19" x14ac:dyDescent="0.25">
      <c r="A525" s="19">
        <v>518</v>
      </c>
      <c r="B525" s="19" t="s">
        <v>58</v>
      </c>
      <c r="C525" s="19" t="s">
        <v>95</v>
      </c>
      <c r="D525" s="20" t="s">
        <v>111</v>
      </c>
      <c r="E525" s="25" t="s">
        <v>112</v>
      </c>
      <c r="F525" s="25" t="s">
        <v>918</v>
      </c>
      <c r="G525" s="25" t="s">
        <v>96</v>
      </c>
      <c r="H525" s="26">
        <v>42231</v>
      </c>
      <c r="I525" s="25">
        <v>224</v>
      </c>
      <c r="J525" s="25" t="s">
        <v>205</v>
      </c>
      <c r="K525" s="27">
        <v>3480030.5720000002</v>
      </c>
      <c r="L525" s="25">
        <v>127</v>
      </c>
      <c r="M525" s="27">
        <v>62.657354330708664</v>
      </c>
      <c r="N525" s="27">
        <v>66.769499999999994</v>
      </c>
      <c r="O525" s="27">
        <v>79.045878996496597</v>
      </c>
      <c r="P525" s="27">
        <v>3216.2530000000002</v>
      </c>
      <c r="Q525" s="27">
        <v>3304.6280000000002</v>
      </c>
      <c r="R525" s="27">
        <v>408464.14499999996</v>
      </c>
      <c r="S525" s="27">
        <f t="shared" si="8"/>
        <v>0.11737372317544109</v>
      </c>
    </row>
    <row r="526" spans="1:19" x14ac:dyDescent="0.25">
      <c r="A526" s="19">
        <v>519</v>
      </c>
      <c r="B526" s="19" t="s">
        <v>58</v>
      </c>
      <c r="C526" s="19" t="s">
        <v>95</v>
      </c>
      <c r="D526" s="20" t="s">
        <v>111</v>
      </c>
      <c r="E526" s="25" t="s">
        <v>112</v>
      </c>
      <c r="F526" s="25" t="s">
        <v>919</v>
      </c>
      <c r="G526" s="25" t="s">
        <v>96</v>
      </c>
      <c r="H526" s="26">
        <v>42231</v>
      </c>
      <c r="I526" s="25">
        <v>226</v>
      </c>
      <c r="J526" s="25" t="s">
        <v>275</v>
      </c>
      <c r="K526" s="27">
        <v>4064281.5469999998</v>
      </c>
      <c r="L526" s="25">
        <v>117</v>
      </c>
      <c r="M526" s="27">
        <v>52.186055555555591</v>
      </c>
      <c r="N526" s="27">
        <v>53.676499999999997</v>
      </c>
      <c r="O526" s="27">
        <v>74.469604842069174</v>
      </c>
      <c r="P526" s="27">
        <v>2332.2350000000001</v>
      </c>
      <c r="Q526" s="27">
        <v>2079.1619999999998</v>
      </c>
      <c r="R526" s="27">
        <v>272871.4740000001</v>
      </c>
      <c r="S526" s="27">
        <f t="shared" si="8"/>
        <v>6.7138920088205226E-2</v>
      </c>
    </row>
    <row r="527" spans="1:19" x14ac:dyDescent="0.25">
      <c r="A527" s="19">
        <v>520</v>
      </c>
      <c r="B527" s="19" t="s">
        <v>58</v>
      </c>
      <c r="C527" s="19" t="s">
        <v>95</v>
      </c>
      <c r="D527" s="20" t="s">
        <v>111</v>
      </c>
      <c r="E527" s="25" t="s">
        <v>112</v>
      </c>
      <c r="F527" s="25" t="s">
        <v>920</v>
      </c>
      <c r="G527" s="25" t="s">
        <v>97</v>
      </c>
      <c r="H527" s="26">
        <v>42224</v>
      </c>
      <c r="I527" s="25">
        <v>227</v>
      </c>
      <c r="J527" s="25" t="s">
        <v>275</v>
      </c>
      <c r="K527" s="27">
        <v>3247572.4049999998</v>
      </c>
      <c r="L527" s="25">
        <v>168</v>
      </c>
      <c r="M527" s="27">
        <v>49.538488095238108</v>
      </c>
      <c r="N527" s="27">
        <v>47.72025</v>
      </c>
      <c r="O527" s="27">
        <v>81.025942525279746</v>
      </c>
      <c r="P527" s="27">
        <v>2143.42</v>
      </c>
      <c r="Q527" s="27">
        <v>1593.2694999999999</v>
      </c>
      <c r="R527" s="27">
        <v>360094.51799999998</v>
      </c>
      <c r="S527" s="27">
        <f t="shared" si="8"/>
        <v>0.11088113615129699</v>
      </c>
    </row>
    <row r="528" spans="1:19" x14ac:dyDescent="0.25">
      <c r="A528" s="19">
        <v>521</v>
      </c>
      <c r="B528" s="19" t="s">
        <v>58</v>
      </c>
      <c r="C528" s="19" t="s">
        <v>95</v>
      </c>
      <c r="D528" s="20" t="s">
        <v>111</v>
      </c>
      <c r="E528" s="25" t="s">
        <v>112</v>
      </c>
      <c r="F528" s="25" t="s">
        <v>921</v>
      </c>
      <c r="G528" s="25" t="s">
        <v>96</v>
      </c>
      <c r="H528" s="26">
        <v>42227</v>
      </c>
      <c r="I528" s="25">
        <v>228</v>
      </c>
      <c r="J528" s="25" t="s">
        <v>140</v>
      </c>
      <c r="K528" s="27">
        <v>4800863.4970000004</v>
      </c>
      <c r="L528" s="25">
        <v>93</v>
      </c>
      <c r="M528" s="27">
        <v>72.965564516129035</v>
      </c>
      <c r="N528" s="27">
        <v>69.908500000000004</v>
      </c>
      <c r="O528" s="27">
        <v>115.12446889723186</v>
      </c>
      <c r="P528" s="27">
        <v>4862.75</v>
      </c>
      <c r="Q528" s="27">
        <v>4862.7501397849446</v>
      </c>
      <c r="R528" s="27">
        <v>452235.76299999986</v>
      </c>
      <c r="S528" s="27">
        <f t="shared" si="8"/>
        <v>9.419883803873956E-2</v>
      </c>
    </row>
    <row r="529" spans="1:19" x14ac:dyDescent="0.25">
      <c r="A529" s="19">
        <v>522</v>
      </c>
      <c r="B529" s="19" t="s">
        <v>58</v>
      </c>
      <c r="C529" s="19" t="s">
        <v>95</v>
      </c>
      <c r="D529" s="20" t="s">
        <v>111</v>
      </c>
      <c r="E529" s="25" t="s">
        <v>112</v>
      </c>
      <c r="F529" s="25" t="s">
        <v>922</v>
      </c>
      <c r="G529" s="25" t="s">
        <v>96</v>
      </c>
      <c r="H529" s="26">
        <v>42224</v>
      </c>
      <c r="I529" s="25">
        <v>230</v>
      </c>
      <c r="J529" s="25" t="s">
        <v>279</v>
      </c>
      <c r="K529" s="27">
        <v>4694369.7640000004</v>
      </c>
      <c r="L529" s="25">
        <v>182</v>
      </c>
      <c r="M529" s="27">
        <v>48.685326923076929</v>
      </c>
      <c r="N529" s="27">
        <v>47.242249999999999</v>
      </c>
      <c r="O529" s="27">
        <v>79.705604966259457</v>
      </c>
      <c r="P529" s="27">
        <v>2111.9949999999999</v>
      </c>
      <c r="Q529" s="27">
        <v>1575.299</v>
      </c>
      <c r="R529" s="27">
        <v>384383.06299999985</v>
      </c>
      <c r="S529" s="27">
        <f t="shared" si="8"/>
        <v>8.1881718382676563E-2</v>
      </c>
    </row>
    <row r="530" spans="1:19" x14ac:dyDescent="0.25">
      <c r="A530" s="19">
        <v>523</v>
      </c>
      <c r="B530" s="19" t="s">
        <v>58</v>
      </c>
      <c r="C530" s="19" t="s">
        <v>95</v>
      </c>
      <c r="D530" s="20" t="s">
        <v>111</v>
      </c>
      <c r="E530" s="25" t="s">
        <v>112</v>
      </c>
      <c r="F530" s="25" t="s">
        <v>923</v>
      </c>
      <c r="G530" s="25" t="s">
        <v>96</v>
      </c>
      <c r="H530" s="26">
        <v>42227</v>
      </c>
      <c r="I530" s="25">
        <v>231</v>
      </c>
      <c r="J530" s="25" t="s">
        <v>764</v>
      </c>
      <c r="K530" s="27">
        <v>4385732.6890000002</v>
      </c>
      <c r="L530" s="25">
        <v>174</v>
      </c>
      <c r="M530" s="27">
        <v>55.265847701149475</v>
      </c>
      <c r="N530" s="27">
        <v>56.981250000000003</v>
      </c>
      <c r="O530" s="27">
        <v>76.109627627637138</v>
      </c>
      <c r="P530" s="27">
        <v>2566.3130000000001</v>
      </c>
      <c r="Q530" s="27">
        <v>2433.4290000000001</v>
      </c>
      <c r="R530" s="27">
        <v>446538.54699999996</v>
      </c>
      <c r="S530" s="27">
        <f t="shared" si="8"/>
        <v>0.10181617956789248</v>
      </c>
    </row>
    <row r="531" spans="1:19" x14ac:dyDescent="0.25">
      <c r="A531" s="19">
        <v>524</v>
      </c>
      <c r="B531" s="19" t="s">
        <v>58</v>
      </c>
      <c r="C531" s="19" t="s">
        <v>95</v>
      </c>
      <c r="D531" s="20" t="s">
        <v>111</v>
      </c>
      <c r="E531" s="25" t="s">
        <v>112</v>
      </c>
      <c r="F531" s="25" t="s">
        <v>924</v>
      </c>
      <c r="G531" s="25" t="s">
        <v>96</v>
      </c>
      <c r="H531" s="26">
        <v>42224</v>
      </c>
      <c r="I531" s="25">
        <v>232</v>
      </c>
      <c r="J531" s="25" t="s">
        <v>278</v>
      </c>
      <c r="K531" s="27">
        <v>4427572.4050000003</v>
      </c>
      <c r="L531" s="25">
        <v>263</v>
      </c>
      <c r="M531" s="27">
        <v>49.831779467680605</v>
      </c>
      <c r="N531" s="27">
        <v>51.396500000000003</v>
      </c>
      <c r="O531" s="27">
        <v>67.241471227293886</v>
      </c>
      <c r="P531" s="27">
        <v>2068.5</v>
      </c>
      <c r="Q531" s="27">
        <v>1938.902</v>
      </c>
      <c r="R531" s="27">
        <v>544015.49399999983</v>
      </c>
      <c r="S531" s="27">
        <f t="shared" si="8"/>
        <v>0.12286992605375581</v>
      </c>
    </row>
    <row r="532" spans="1:19" x14ac:dyDescent="0.25">
      <c r="A532" s="19">
        <v>525</v>
      </c>
      <c r="B532" s="19" t="s">
        <v>58</v>
      </c>
      <c r="C532" s="19" t="s">
        <v>95</v>
      </c>
      <c r="D532" s="20" t="s">
        <v>111</v>
      </c>
      <c r="E532" s="25" t="s">
        <v>112</v>
      </c>
      <c r="F532" s="25" t="s">
        <v>925</v>
      </c>
      <c r="G532" s="25" t="s">
        <v>96</v>
      </c>
      <c r="H532" s="26">
        <v>42227</v>
      </c>
      <c r="I532" s="25">
        <v>233</v>
      </c>
      <c r="J532" s="25" t="s">
        <v>926</v>
      </c>
      <c r="K532" s="27">
        <v>3451951.5040000002</v>
      </c>
      <c r="L532" s="25">
        <v>97</v>
      </c>
      <c r="M532" s="27">
        <v>49.907402061855663</v>
      </c>
      <c r="N532" s="27">
        <v>50.983000000000004</v>
      </c>
      <c r="O532" s="27">
        <v>66.463178565294953</v>
      </c>
      <c r="P532" s="27">
        <v>2090.14</v>
      </c>
      <c r="Q532" s="27">
        <v>1861.1869999999999</v>
      </c>
      <c r="R532" s="27">
        <v>202743.58800000002</v>
      </c>
      <c r="S532" s="27">
        <f t="shared" si="8"/>
        <v>5.8733034854362196E-2</v>
      </c>
    </row>
    <row r="533" spans="1:19" x14ac:dyDescent="0.25">
      <c r="A533" s="19">
        <v>526</v>
      </c>
      <c r="B533" s="19" t="s">
        <v>58</v>
      </c>
      <c r="C533" s="19" t="s">
        <v>95</v>
      </c>
      <c r="D533" s="20" t="s">
        <v>111</v>
      </c>
      <c r="E533" s="25" t="s">
        <v>112</v>
      </c>
      <c r="F533" s="25" t="s">
        <v>928</v>
      </c>
      <c r="G533" s="25" t="s">
        <v>97</v>
      </c>
      <c r="H533" s="26">
        <v>42223</v>
      </c>
      <c r="I533" s="25">
        <v>278</v>
      </c>
      <c r="J533" s="25" t="s">
        <v>326</v>
      </c>
      <c r="K533" s="27">
        <v>5735975.8689999999</v>
      </c>
      <c r="L533" s="25">
        <v>70</v>
      </c>
      <c r="M533" s="27">
        <v>92.878607142857149</v>
      </c>
      <c r="N533" s="27">
        <v>91.548000000000002</v>
      </c>
      <c r="O533" s="27">
        <v>130.42809814291599</v>
      </c>
      <c r="P533" s="27">
        <v>7576.0789999999997</v>
      </c>
      <c r="Q533" s="27">
        <v>6423.2534999999998</v>
      </c>
      <c r="R533" s="27">
        <v>530325.56200000003</v>
      </c>
      <c r="S533" s="27">
        <f t="shared" si="8"/>
        <v>9.245603086758733E-2</v>
      </c>
    </row>
    <row r="534" spans="1:19" x14ac:dyDescent="0.25">
      <c r="A534" s="19">
        <v>527</v>
      </c>
      <c r="B534" s="19" t="s">
        <v>58</v>
      </c>
      <c r="C534" s="19" t="s">
        <v>95</v>
      </c>
      <c r="D534" s="20" t="s">
        <v>111</v>
      </c>
      <c r="E534" s="25" t="s">
        <v>112</v>
      </c>
      <c r="F534" s="25" t="s">
        <v>930</v>
      </c>
      <c r="G534" s="25" t="s">
        <v>97</v>
      </c>
      <c r="H534" s="26">
        <v>42237</v>
      </c>
      <c r="I534" s="25">
        <v>287</v>
      </c>
      <c r="J534" s="25" t="s">
        <v>234</v>
      </c>
      <c r="K534" s="27">
        <v>5172077.5279999999</v>
      </c>
      <c r="L534" s="25">
        <v>219</v>
      </c>
      <c r="M534" s="27">
        <v>73.478810502283039</v>
      </c>
      <c r="N534" s="27">
        <v>82.355500000000006</v>
      </c>
      <c r="O534" s="27">
        <v>112.0467078729412</v>
      </c>
      <c r="P534" s="27">
        <v>5229.8639999999996</v>
      </c>
      <c r="Q534" s="27">
        <v>4991.9480000000003</v>
      </c>
      <c r="R534" s="27">
        <v>1145340.1420000005</v>
      </c>
      <c r="S534" s="27">
        <f t="shared" si="8"/>
        <v>0.22144682398890764</v>
      </c>
    </row>
    <row r="535" spans="1:19" x14ac:dyDescent="0.25">
      <c r="A535" s="19">
        <v>528</v>
      </c>
      <c r="B535" s="19" t="s">
        <v>58</v>
      </c>
      <c r="C535" s="19" t="s">
        <v>95</v>
      </c>
      <c r="D535" s="20" t="s">
        <v>111</v>
      </c>
      <c r="E535" s="25" t="s">
        <v>112</v>
      </c>
      <c r="F535" s="25" t="s">
        <v>932</v>
      </c>
      <c r="G535" s="25" t="s">
        <v>97</v>
      </c>
      <c r="H535" s="26">
        <v>42236</v>
      </c>
      <c r="I535" s="25">
        <v>305</v>
      </c>
      <c r="J535" s="25" t="s">
        <v>306</v>
      </c>
      <c r="K535" s="27">
        <v>2774008.1549999998</v>
      </c>
      <c r="L535" s="25">
        <v>129</v>
      </c>
      <c r="M535" s="27">
        <v>51.423765625000009</v>
      </c>
      <c r="N535" s="27">
        <v>54.374749999999999</v>
      </c>
      <c r="O535" s="27">
        <v>76.860817445814362</v>
      </c>
      <c r="P535" s="27">
        <v>2415.6689147286829</v>
      </c>
      <c r="Q535" s="27">
        <v>2174.7280000000001</v>
      </c>
      <c r="R535" s="27">
        <v>311621.2900000001</v>
      </c>
      <c r="S535" s="27">
        <f t="shared" si="8"/>
        <v>0.11233611171557645</v>
      </c>
    </row>
    <row r="536" spans="1:19" x14ac:dyDescent="0.25">
      <c r="A536" s="19">
        <v>529</v>
      </c>
      <c r="B536" s="19" t="s">
        <v>58</v>
      </c>
      <c r="C536" s="19" t="s">
        <v>95</v>
      </c>
      <c r="D536" s="20" t="s">
        <v>111</v>
      </c>
      <c r="E536" s="25" t="s">
        <v>112</v>
      </c>
      <c r="F536" s="25" t="s">
        <v>933</v>
      </c>
      <c r="G536" s="25" t="s">
        <v>97</v>
      </c>
      <c r="H536" s="26">
        <v>42237</v>
      </c>
      <c r="I536" s="25">
        <v>309</v>
      </c>
      <c r="J536" s="25" t="s">
        <v>166</v>
      </c>
      <c r="K536" s="27">
        <v>4855916.824</v>
      </c>
      <c r="L536" s="25">
        <v>243</v>
      </c>
      <c r="M536" s="27">
        <v>51.794106995884761</v>
      </c>
      <c r="N536" s="27">
        <v>51.786500000000004</v>
      </c>
      <c r="O536" s="27">
        <v>71.911831703733426</v>
      </c>
      <c r="P536" s="27">
        <v>2239.529</v>
      </c>
      <c r="Q536" s="27">
        <v>1987.211</v>
      </c>
      <c r="R536" s="27">
        <v>544205.45999999973</v>
      </c>
      <c r="S536" s="27">
        <f t="shared" si="8"/>
        <v>0.11207058928816606</v>
      </c>
    </row>
    <row r="537" spans="1:19" x14ac:dyDescent="0.25">
      <c r="A537" s="19">
        <v>530</v>
      </c>
      <c r="B537" s="19" t="s">
        <v>58</v>
      </c>
      <c r="C537" s="19" t="s">
        <v>95</v>
      </c>
      <c r="D537" s="20" t="s">
        <v>111</v>
      </c>
      <c r="E537" s="25" t="s">
        <v>112</v>
      </c>
      <c r="F537" s="25" t="s">
        <v>934</v>
      </c>
      <c r="G537" s="25" t="s">
        <v>97</v>
      </c>
      <c r="H537" s="26">
        <v>42236</v>
      </c>
      <c r="I537" s="25">
        <v>326</v>
      </c>
      <c r="J537" s="25" t="s">
        <v>323</v>
      </c>
      <c r="K537" s="27">
        <v>2985963.9810000001</v>
      </c>
      <c r="L537" s="25">
        <v>105</v>
      </c>
      <c r="M537" s="27">
        <v>49.031761904761915</v>
      </c>
      <c r="N537" s="27">
        <v>49.304000000000002</v>
      </c>
      <c r="O537" s="27">
        <v>71.177102935551702</v>
      </c>
      <c r="P537" s="27">
        <v>2019.7157619047618</v>
      </c>
      <c r="Q537" s="27">
        <v>1768.912</v>
      </c>
      <c r="R537" s="27">
        <v>212070.155</v>
      </c>
      <c r="S537" s="27">
        <f t="shared" si="8"/>
        <v>7.1022341980487541E-2</v>
      </c>
    </row>
    <row r="538" spans="1:19" x14ac:dyDescent="0.25">
      <c r="A538" s="19">
        <v>531</v>
      </c>
      <c r="B538" s="19" t="s">
        <v>58</v>
      </c>
      <c r="C538" s="19" t="s">
        <v>95</v>
      </c>
      <c r="D538" s="20" t="s">
        <v>111</v>
      </c>
      <c r="E538" s="25" t="s">
        <v>112</v>
      </c>
      <c r="F538" s="25" t="s">
        <v>935</v>
      </c>
      <c r="G538" s="25" t="s">
        <v>97</v>
      </c>
      <c r="H538" s="26">
        <v>42224</v>
      </c>
      <c r="I538" s="25">
        <v>337</v>
      </c>
      <c r="J538" s="25" t="s">
        <v>352</v>
      </c>
      <c r="K538" s="27">
        <v>4166520.5720000002</v>
      </c>
      <c r="L538" s="25">
        <v>180</v>
      </c>
      <c r="M538" s="27">
        <v>65.055255555555561</v>
      </c>
      <c r="N538" s="27">
        <v>71.83475</v>
      </c>
      <c r="O538" s="27">
        <v>97.783461382224203</v>
      </c>
      <c r="P538" s="27">
        <v>3971.837</v>
      </c>
      <c r="Q538" s="27">
        <v>3862.1669999999999</v>
      </c>
      <c r="R538" s="27">
        <v>714930.57100000023</v>
      </c>
      <c r="S538" s="27">
        <f t="shared" si="8"/>
        <v>0.17158935342945433</v>
      </c>
    </row>
    <row r="539" spans="1:19" x14ac:dyDescent="0.25">
      <c r="A539" s="19">
        <v>532</v>
      </c>
      <c r="B539" s="19" t="s">
        <v>58</v>
      </c>
      <c r="C539" s="19" t="s">
        <v>95</v>
      </c>
      <c r="D539" s="20" t="s">
        <v>111</v>
      </c>
      <c r="E539" s="25" t="s">
        <v>112</v>
      </c>
      <c r="F539" s="25" t="s">
        <v>936</v>
      </c>
      <c r="G539" s="25" t="s">
        <v>96</v>
      </c>
      <c r="H539" s="26">
        <v>42234</v>
      </c>
      <c r="I539" s="25">
        <v>342</v>
      </c>
      <c r="J539" s="25" t="s">
        <v>347</v>
      </c>
      <c r="K539" s="27">
        <v>3001044.3089999999</v>
      </c>
      <c r="L539" s="25">
        <v>80</v>
      </c>
      <c r="M539" s="27">
        <v>76.000856249999998</v>
      </c>
      <c r="N539" s="27">
        <v>85.942000000000007</v>
      </c>
      <c r="O539" s="27">
        <v>102.68940159373359</v>
      </c>
      <c r="P539" s="27">
        <v>5035.2570249999999</v>
      </c>
      <c r="Q539" s="27">
        <v>5519.4430000000002</v>
      </c>
      <c r="R539" s="27">
        <v>402820.56199999998</v>
      </c>
      <c r="S539" s="27">
        <f t="shared" si="8"/>
        <v>0.1342267959163278</v>
      </c>
    </row>
    <row r="540" spans="1:19" x14ac:dyDescent="0.25">
      <c r="A540" s="19">
        <v>533</v>
      </c>
      <c r="B540" s="19" t="s">
        <v>58</v>
      </c>
      <c r="C540" s="19" t="s">
        <v>95</v>
      </c>
      <c r="D540" s="20" t="s">
        <v>111</v>
      </c>
      <c r="E540" s="25" t="s">
        <v>112</v>
      </c>
      <c r="F540" s="25" t="s">
        <v>937</v>
      </c>
      <c r="G540" s="25" t="s">
        <v>96</v>
      </c>
      <c r="H540" s="26">
        <v>42224</v>
      </c>
      <c r="I540" s="25">
        <v>343</v>
      </c>
      <c r="J540" s="25" t="s">
        <v>216</v>
      </c>
      <c r="K540" s="27">
        <v>2539102.591</v>
      </c>
      <c r="L540" s="25">
        <v>91</v>
      </c>
      <c r="M540" s="27">
        <v>55.932417582417585</v>
      </c>
      <c r="N540" s="27">
        <v>56.245000000000005</v>
      </c>
      <c r="O540" s="27">
        <v>83.509718686547515</v>
      </c>
      <c r="P540" s="27">
        <v>2718.9322197802198</v>
      </c>
      <c r="Q540" s="27">
        <v>2240.634</v>
      </c>
      <c r="R540" s="27">
        <v>247422.83200000002</v>
      </c>
      <c r="S540" s="27">
        <f t="shared" si="8"/>
        <v>9.7444992131080072E-2</v>
      </c>
    </row>
    <row r="541" spans="1:19" x14ac:dyDescent="0.25">
      <c r="A541" s="19">
        <v>534</v>
      </c>
      <c r="B541" s="19" t="s">
        <v>58</v>
      </c>
      <c r="C541" s="19" t="s">
        <v>95</v>
      </c>
      <c r="D541" s="20" t="s">
        <v>111</v>
      </c>
      <c r="E541" s="25" t="s">
        <v>112</v>
      </c>
      <c r="F541" s="25" t="s">
        <v>940</v>
      </c>
      <c r="G541" s="25" t="s">
        <v>97</v>
      </c>
      <c r="H541" s="26">
        <v>42233</v>
      </c>
      <c r="I541" s="25">
        <v>364</v>
      </c>
      <c r="J541" s="25" t="s">
        <v>130</v>
      </c>
      <c r="K541" s="27">
        <v>2487659.463</v>
      </c>
      <c r="L541" s="25">
        <v>234</v>
      </c>
      <c r="M541" s="27">
        <v>42.392722222222226</v>
      </c>
      <c r="N541" s="27">
        <v>42.863499999999995</v>
      </c>
      <c r="O541" s="27">
        <v>49.724050084980384</v>
      </c>
      <c r="P541" s="27">
        <v>1403.4796538461546</v>
      </c>
      <c r="Q541" s="27">
        <v>1368.5725</v>
      </c>
      <c r="R541" s="27">
        <v>328414.23900000018</v>
      </c>
      <c r="S541" s="27">
        <f t="shared" si="8"/>
        <v>0.13201736165445574</v>
      </c>
    </row>
    <row r="542" spans="1:19" x14ac:dyDescent="0.25">
      <c r="A542" s="19">
        <v>535</v>
      </c>
      <c r="B542" s="19" t="s">
        <v>58</v>
      </c>
      <c r="C542" s="19" t="s">
        <v>95</v>
      </c>
      <c r="D542" s="20" t="s">
        <v>111</v>
      </c>
      <c r="E542" s="25" t="s">
        <v>112</v>
      </c>
      <c r="F542" s="25" t="s">
        <v>941</v>
      </c>
      <c r="G542" s="25" t="s">
        <v>97</v>
      </c>
      <c r="H542" s="26">
        <v>42233</v>
      </c>
      <c r="I542" s="25">
        <v>365</v>
      </c>
      <c r="J542" s="25" t="s">
        <v>325</v>
      </c>
      <c r="K542" s="27">
        <v>2977160.5419999999</v>
      </c>
      <c r="L542" s="25">
        <v>382</v>
      </c>
      <c r="M542" s="27">
        <v>51.538460629921211</v>
      </c>
      <c r="N542" s="27">
        <v>52.451000000000001</v>
      </c>
      <c r="O542" s="27">
        <v>61.589919059758635</v>
      </c>
      <c r="P542" s="27">
        <v>2065.3023534031408</v>
      </c>
      <c r="Q542" s="27">
        <v>2041.2809999999999</v>
      </c>
      <c r="R542" s="27">
        <v>788945.49899999972</v>
      </c>
      <c r="S542" s="27">
        <f t="shared" si="8"/>
        <v>0.26499931322816778</v>
      </c>
    </row>
    <row r="543" spans="1:19" x14ac:dyDescent="0.25">
      <c r="A543" s="19">
        <v>536</v>
      </c>
      <c r="B543" s="19" t="s">
        <v>58</v>
      </c>
      <c r="C543" s="19" t="s">
        <v>95</v>
      </c>
      <c r="D543" s="20" t="s">
        <v>111</v>
      </c>
      <c r="E543" s="25" t="s">
        <v>112</v>
      </c>
      <c r="F543" s="25" t="s">
        <v>944</v>
      </c>
      <c r="G543" s="25" t="s">
        <v>97</v>
      </c>
      <c r="H543" s="26">
        <v>42233</v>
      </c>
      <c r="I543" s="25">
        <v>390</v>
      </c>
      <c r="J543" s="25" t="s">
        <v>344</v>
      </c>
      <c r="K543" s="27">
        <v>2965934.12</v>
      </c>
      <c r="L543" s="25">
        <v>147</v>
      </c>
      <c r="M543" s="27">
        <v>61.458972789115663</v>
      </c>
      <c r="N543" s="27">
        <v>48.834500000000006</v>
      </c>
      <c r="O543" s="27">
        <v>121.32026342290736</v>
      </c>
      <c r="P543" s="27">
        <v>4102.970442176872</v>
      </c>
      <c r="Q543" s="27">
        <v>1582.913</v>
      </c>
      <c r="R543" s="27">
        <v>603136.65500000014</v>
      </c>
      <c r="S543" s="27">
        <f t="shared" si="8"/>
        <v>0.2033547039810851</v>
      </c>
    </row>
    <row r="544" spans="1:19" x14ac:dyDescent="0.25">
      <c r="A544" s="19">
        <v>537</v>
      </c>
      <c r="B544" s="19" t="s">
        <v>58</v>
      </c>
      <c r="C544" s="19" t="s">
        <v>95</v>
      </c>
      <c r="D544" s="20" t="s">
        <v>111</v>
      </c>
      <c r="E544" s="25" t="s">
        <v>112</v>
      </c>
      <c r="F544" s="25" t="s">
        <v>945</v>
      </c>
      <c r="G544" s="25" t="s">
        <v>97</v>
      </c>
      <c r="H544" s="26">
        <v>42234</v>
      </c>
      <c r="I544" s="25">
        <v>392</v>
      </c>
      <c r="J544" s="25" t="s">
        <v>275</v>
      </c>
      <c r="K544" s="27">
        <v>3750207.7059999998</v>
      </c>
      <c r="L544" s="25">
        <v>123</v>
      </c>
      <c r="M544" s="27">
        <v>54.333426829268319</v>
      </c>
      <c r="N544" s="27">
        <v>56.274500000000003</v>
      </c>
      <c r="O544" s="27">
        <v>83.076769040471731</v>
      </c>
      <c r="P544" s="27">
        <v>2617.8449999999998</v>
      </c>
      <c r="Q544" s="27">
        <v>2285.9340000000002</v>
      </c>
      <c r="R544" s="27">
        <v>321994.91199999995</v>
      </c>
      <c r="S544" s="27">
        <f t="shared" si="8"/>
        <v>8.586055419939452E-2</v>
      </c>
    </row>
    <row r="545" spans="1:19" x14ac:dyDescent="0.25">
      <c r="A545" s="19">
        <v>538</v>
      </c>
      <c r="B545" s="19" t="s">
        <v>58</v>
      </c>
      <c r="C545" s="19" t="s">
        <v>95</v>
      </c>
      <c r="D545" s="20" t="s">
        <v>111</v>
      </c>
      <c r="E545" s="25" t="s">
        <v>112</v>
      </c>
      <c r="F545" s="25" t="s">
        <v>948</v>
      </c>
      <c r="G545" s="25" t="s">
        <v>97</v>
      </c>
      <c r="H545" s="26">
        <v>42231</v>
      </c>
      <c r="I545" s="25">
        <v>455</v>
      </c>
      <c r="J545" s="25" t="s">
        <v>350</v>
      </c>
      <c r="K545" s="27">
        <v>4783380.0089999996</v>
      </c>
      <c r="L545" s="25">
        <v>169</v>
      </c>
      <c r="M545" s="27">
        <v>64.642970414201187</v>
      </c>
      <c r="N545" s="27">
        <v>60.881</v>
      </c>
      <c r="O545" s="27">
        <v>111.63672745338691</v>
      </c>
      <c r="P545" s="27">
        <v>4014.9250000000002</v>
      </c>
      <c r="Q545" s="27">
        <v>2699.9459999999999</v>
      </c>
      <c r="R545" s="27">
        <v>678522.25000000035</v>
      </c>
      <c r="S545" s="27">
        <f t="shared" si="8"/>
        <v>0.14184995729449695</v>
      </c>
    </row>
    <row r="546" spans="1:19" x14ac:dyDescent="0.25">
      <c r="A546" s="19">
        <v>539</v>
      </c>
      <c r="B546" s="19" t="s">
        <v>58</v>
      </c>
      <c r="C546" s="19" t="s">
        <v>95</v>
      </c>
      <c r="D546" s="20" t="s">
        <v>111</v>
      </c>
      <c r="E546" s="25" t="s">
        <v>112</v>
      </c>
      <c r="F546" s="25" t="s">
        <v>113</v>
      </c>
      <c r="G546" s="25" t="s">
        <v>96</v>
      </c>
      <c r="H546" s="26">
        <v>42234</v>
      </c>
      <c r="I546" s="25">
        <v>461</v>
      </c>
      <c r="J546" s="25" t="s">
        <v>51</v>
      </c>
      <c r="K546" s="27">
        <v>4024969.077</v>
      </c>
      <c r="L546" s="25">
        <v>314</v>
      </c>
      <c r="M546" s="27">
        <v>48.449409235668796</v>
      </c>
      <c r="N546" s="27">
        <v>51.121499999999997</v>
      </c>
      <c r="O546" s="27">
        <v>56.537379700252359</v>
      </c>
      <c r="P546" s="27">
        <v>1838.6389999999999</v>
      </c>
      <c r="Q546" s="27">
        <v>1925.7155</v>
      </c>
      <c r="R546" s="27">
        <v>577332.48900000041</v>
      </c>
      <c r="S546" s="27">
        <f t="shared" si="8"/>
        <v>0.14343774522370087</v>
      </c>
    </row>
    <row r="547" spans="1:19" x14ac:dyDescent="0.25">
      <c r="A547" s="19">
        <v>540</v>
      </c>
      <c r="B547" s="19" t="s">
        <v>58</v>
      </c>
      <c r="C547" s="19" t="s">
        <v>95</v>
      </c>
      <c r="D547" s="20" t="s">
        <v>111</v>
      </c>
      <c r="E547" s="25" t="s">
        <v>112</v>
      </c>
      <c r="F547" s="25" t="s">
        <v>949</v>
      </c>
      <c r="G547" s="25" t="s">
        <v>96</v>
      </c>
      <c r="H547" s="26">
        <v>42233</v>
      </c>
      <c r="I547" s="25">
        <v>462</v>
      </c>
      <c r="J547" s="25" t="s">
        <v>279</v>
      </c>
      <c r="K547" s="27">
        <v>4702849.0750000002</v>
      </c>
      <c r="L547" s="25">
        <v>206</v>
      </c>
      <c r="M547" s="27">
        <v>46.973354368932057</v>
      </c>
      <c r="N547" s="27">
        <v>43.890500000000003</v>
      </c>
      <c r="O547" s="27">
        <v>74.946110336928683</v>
      </c>
      <c r="P547" s="27">
        <v>1979.4349999999999</v>
      </c>
      <c r="Q547" s="27">
        <v>1458.26</v>
      </c>
      <c r="R547" s="27">
        <v>407763.54200000002</v>
      </c>
      <c r="S547" s="27">
        <f t="shared" si="8"/>
        <v>8.6705640665281178E-2</v>
      </c>
    </row>
    <row r="548" spans="1:19" x14ac:dyDescent="0.25">
      <c r="A548" s="19">
        <v>541</v>
      </c>
      <c r="B548" s="19" t="s">
        <v>58</v>
      </c>
      <c r="C548" s="19" t="s">
        <v>95</v>
      </c>
      <c r="D548" s="20" t="s">
        <v>111</v>
      </c>
      <c r="E548" s="25" t="s">
        <v>112</v>
      </c>
      <c r="F548" s="25" t="s">
        <v>950</v>
      </c>
      <c r="G548" s="25" t="s">
        <v>96</v>
      </c>
      <c r="H548" s="26">
        <v>42222</v>
      </c>
      <c r="I548" s="25">
        <v>463</v>
      </c>
      <c r="J548" s="25" t="s">
        <v>279</v>
      </c>
      <c r="K548" s="27">
        <v>4656840.3</v>
      </c>
      <c r="L548" s="25">
        <v>93</v>
      </c>
      <c r="M548" s="27">
        <v>61.959784946236553</v>
      </c>
      <c r="N548" s="27">
        <v>63.913499999999999</v>
      </c>
      <c r="O548" s="27">
        <v>94.34878349202269</v>
      </c>
      <c r="P548" s="27">
        <v>3392.6039999999998</v>
      </c>
      <c r="Q548" s="27">
        <v>2985.8339999999998</v>
      </c>
      <c r="R548" s="27">
        <v>315512.15000000002</v>
      </c>
      <c r="S548" s="27">
        <f t="shared" si="8"/>
        <v>6.7752409289191226E-2</v>
      </c>
    </row>
    <row r="549" spans="1:19" x14ac:dyDescent="0.25">
      <c r="A549" s="19">
        <v>542</v>
      </c>
      <c r="B549" s="19" t="s">
        <v>58</v>
      </c>
      <c r="C549" s="19" t="s">
        <v>95</v>
      </c>
      <c r="D549" s="20" t="s">
        <v>111</v>
      </c>
      <c r="E549" s="25" t="s">
        <v>112</v>
      </c>
      <c r="F549" s="25" t="s">
        <v>114</v>
      </c>
      <c r="G549" s="25" t="s">
        <v>96</v>
      </c>
      <c r="H549" s="26">
        <v>42231</v>
      </c>
      <c r="I549" s="25">
        <v>464</v>
      </c>
      <c r="J549" s="25" t="s">
        <v>51</v>
      </c>
      <c r="K549" s="27">
        <v>4213030.642</v>
      </c>
      <c r="L549" s="25">
        <v>253</v>
      </c>
      <c r="M549" s="27">
        <v>54.074181818181827</v>
      </c>
      <c r="N549" s="27">
        <v>57.870999999999995</v>
      </c>
      <c r="O549" s="27">
        <v>67.761039437221996</v>
      </c>
      <c r="P549" s="27">
        <v>2384.1770000000001</v>
      </c>
      <c r="Q549" s="27">
        <v>2484.0720000000001</v>
      </c>
      <c r="R549" s="27">
        <v>603196.8049999997</v>
      </c>
      <c r="S549" s="27">
        <f t="shared" si="8"/>
        <v>0.14317408446705518</v>
      </c>
    </row>
    <row r="550" spans="1:19" x14ac:dyDescent="0.25">
      <c r="A550" s="19">
        <v>543</v>
      </c>
      <c r="B550" s="19" t="s">
        <v>58</v>
      </c>
      <c r="C550" s="19" t="s">
        <v>95</v>
      </c>
      <c r="D550" s="20" t="s">
        <v>111</v>
      </c>
      <c r="E550" s="25" t="s">
        <v>112</v>
      </c>
      <c r="F550" s="25" t="s">
        <v>951</v>
      </c>
      <c r="G550" s="25" t="s">
        <v>96</v>
      </c>
      <c r="H550" s="26">
        <v>42231</v>
      </c>
      <c r="I550" s="25">
        <v>465</v>
      </c>
      <c r="J550" s="25" t="s">
        <v>347</v>
      </c>
      <c r="K550" s="27">
        <v>6047674.625</v>
      </c>
      <c r="L550" s="25">
        <v>174</v>
      </c>
      <c r="M550" s="27">
        <v>61.539261494252884</v>
      </c>
      <c r="N550" s="27">
        <v>65.003500000000003</v>
      </c>
      <c r="O550" s="27">
        <v>86.157215770479212</v>
      </c>
      <c r="P550" s="27">
        <v>3262.5329999999999</v>
      </c>
      <c r="Q550" s="27">
        <v>3089.8040000000001</v>
      </c>
      <c r="R550" s="27">
        <v>567680.69700000016</v>
      </c>
      <c r="S550" s="27">
        <f t="shared" si="8"/>
        <v>9.3867599069121579E-2</v>
      </c>
    </row>
    <row r="551" spans="1:19" x14ac:dyDescent="0.25">
      <c r="A551" s="19">
        <v>544</v>
      </c>
      <c r="B551" s="19" t="s">
        <v>58</v>
      </c>
      <c r="C551" s="19" t="s">
        <v>95</v>
      </c>
      <c r="D551" s="20" t="s">
        <v>111</v>
      </c>
      <c r="E551" s="25" t="s">
        <v>112</v>
      </c>
      <c r="F551" s="25" t="s">
        <v>952</v>
      </c>
      <c r="G551" s="25" t="s">
        <v>97</v>
      </c>
      <c r="H551" s="26">
        <v>42231</v>
      </c>
      <c r="I551" s="25">
        <v>466</v>
      </c>
      <c r="J551" s="25" t="s">
        <v>347</v>
      </c>
      <c r="K551" s="27">
        <v>5724909.0990000004</v>
      </c>
      <c r="L551" s="25">
        <v>117</v>
      </c>
      <c r="M551" s="27">
        <v>80.063410256410208</v>
      </c>
      <c r="N551" s="27">
        <v>88.882999999999996</v>
      </c>
      <c r="O551" s="27">
        <v>103.00890665445512</v>
      </c>
      <c r="P551" s="27">
        <v>5400.625</v>
      </c>
      <c r="Q551" s="27">
        <v>5898.1540000000005</v>
      </c>
      <c r="R551" s="27">
        <v>631873.09099999978</v>
      </c>
      <c r="S551" s="27">
        <f t="shared" si="8"/>
        <v>0.11037259807502836</v>
      </c>
    </row>
    <row r="552" spans="1:19" x14ac:dyDescent="0.25">
      <c r="A552" s="19">
        <v>545</v>
      </c>
      <c r="B552" s="19" t="s">
        <v>58</v>
      </c>
      <c r="C552" s="19" t="s">
        <v>95</v>
      </c>
      <c r="D552" s="20" t="s">
        <v>111</v>
      </c>
      <c r="E552" s="25" t="s">
        <v>112</v>
      </c>
      <c r="F552" s="25" t="s">
        <v>953</v>
      </c>
      <c r="G552" s="25" t="s">
        <v>97</v>
      </c>
      <c r="H552" s="26">
        <v>42231</v>
      </c>
      <c r="I552" s="25">
        <v>467</v>
      </c>
      <c r="J552" s="25" t="s">
        <v>265</v>
      </c>
      <c r="K552" s="27">
        <v>3913062.148</v>
      </c>
      <c r="L552" s="25">
        <v>168</v>
      </c>
      <c r="M552" s="27">
        <v>50.993485119047612</v>
      </c>
      <c r="N552" s="27">
        <v>52.853500000000004</v>
      </c>
      <c r="O552" s="27">
        <v>68.930765830239736</v>
      </c>
      <c r="P552" s="27">
        <v>2160.8829999999998</v>
      </c>
      <c r="Q552" s="27">
        <v>2078.2280000000001</v>
      </c>
      <c r="R552" s="27">
        <v>363028.3</v>
      </c>
      <c r="S552" s="27">
        <f t="shared" si="8"/>
        <v>9.2773456252297673E-2</v>
      </c>
    </row>
    <row r="553" spans="1:19" x14ac:dyDescent="0.25">
      <c r="A553" s="19">
        <v>546</v>
      </c>
      <c r="B553" s="19" t="s">
        <v>58</v>
      </c>
      <c r="C553" s="19" t="s">
        <v>95</v>
      </c>
      <c r="D553" s="20" t="s">
        <v>111</v>
      </c>
      <c r="E553" s="25" t="s">
        <v>112</v>
      </c>
      <c r="F553" s="25" t="s">
        <v>954</v>
      </c>
      <c r="G553" s="25" t="s">
        <v>96</v>
      </c>
      <c r="H553" s="26">
        <v>42226</v>
      </c>
      <c r="I553" s="25">
        <v>469</v>
      </c>
      <c r="J553" s="25" t="s">
        <v>51</v>
      </c>
      <c r="K553" s="27">
        <v>4961941</v>
      </c>
      <c r="L553" s="25">
        <v>249</v>
      </c>
      <c r="M553" s="27">
        <v>58.315738955823292</v>
      </c>
      <c r="N553" s="27">
        <v>58.433999999999997</v>
      </c>
      <c r="O553" s="27">
        <v>74.689104895644846</v>
      </c>
      <c r="P553" s="27">
        <v>2791.7550000000001</v>
      </c>
      <c r="Q553" s="27">
        <v>2537.7489999999998</v>
      </c>
      <c r="R553" s="27">
        <v>695146.91299999959</v>
      </c>
      <c r="S553" s="27">
        <f t="shared" si="8"/>
        <v>0.14009576353285932</v>
      </c>
    </row>
    <row r="554" spans="1:19" x14ac:dyDescent="0.25">
      <c r="A554" s="19">
        <v>547</v>
      </c>
      <c r="B554" s="19" t="s">
        <v>58</v>
      </c>
      <c r="C554" s="19" t="s">
        <v>95</v>
      </c>
      <c r="D554" s="20" t="s">
        <v>111</v>
      </c>
      <c r="E554" s="25" t="s">
        <v>112</v>
      </c>
      <c r="F554" s="25" t="s">
        <v>115</v>
      </c>
      <c r="G554" s="25" t="s">
        <v>96</v>
      </c>
      <c r="H554" s="26">
        <v>42222</v>
      </c>
      <c r="I554" s="25">
        <v>470</v>
      </c>
      <c r="J554" s="25" t="s">
        <v>51</v>
      </c>
      <c r="K554" s="27">
        <v>3767766.5759999999</v>
      </c>
      <c r="L554" s="25">
        <v>329</v>
      </c>
      <c r="M554" s="27">
        <v>47.256981762917938</v>
      </c>
      <c r="N554" s="27">
        <v>49.112000000000002</v>
      </c>
      <c r="O554" s="27">
        <v>59.886944914954412</v>
      </c>
      <c r="P554" s="27">
        <v>1790.3330000000001</v>
      </c>
      <c r="Q554" s="27">
        <v>1789.7729999999999</v>
      </c>
      <c r="R554" s="27">
        <v>589019.57700000098</v>
      </c>
      <c r="S554" s="27">
        <f t="shared" si="8"/>
        <v>0.15633122836004504</v>
      </c>
    </row>
    <row r="555" spans="1:19" x14ac:dyDescent="0.25">
      <c r="A555" s="19">
        <v>548</v>
      </c>
      <c r="B555" s="19" t="s">
        <v>58</v>
      </c>
      <c r="C555" s="19" t="s">
        <v>95</v>
      </c>
      <c r="D555" s="20" t="s">
        <v>111</v>
      </c>
      <c r="E555" s="25" t="s">
        <v>112</v>
      </c>
      <c r="F555" s="25" t="s">
        <v>955</v>
      </c>
      <c r="G555" s="25" t="s">
        <v>96</v>
      </c>
      <c r="H555" s="26">
        <v>42226</v>
      </c>
      <c r="I555" s="25">
        <v>471</v>
      </c>
      <c r="J555" s="25" t="s">
        <v>149</v>
      </c>
      <c r="K555" s="27">
        <v>4989322.5049999999</v>
      </c>
      <c r="L555" s="25">
        <v>148</v>
      </c>
      <c r="M555" s="27">
        <v>68.783253378378333</v>
      </c>
      <c r="N555" s="27">
        <v>68.593250000000012</v>
      </c>
      <c r="O555" s="27">
        <v>93.781657939895865</v>
      </c>
      <c r="P555" s="27">
        <v>3970.71</v>
      </c>
      <c r="Q555" s="27">
        <v>3588.9984999999997</v>
      </c>
      <c r="R555" s="27">
        <v>587665.05500000005</v>
      </c>
      <c r="S555" s="27">
        <f t="shared" si="8"/>
        <v>0.11778453976688766</v>
      </c>
    </row>
    <row r="556" spans="1:19" x14ac:dyDescent="0.25">
      <c r="A556" s="19">
        <v>549</v>
      </c>
      <c r="B556" s="19" t="s">
        <v>58</v>
      </c>
      <c r="C556" s="19" t="s">
        <v>95</v>
      </c>
      <c r="D556" s="20" t="s">
        <v>111</v>
      </c>
      <c r="E556" s="25" t="s">
        <v>112</v>
      </c>
      <c r="F556" s="25" t="s">
        <v>116</v>
      </c>
      <c r="G556" s="25" t="s">
        <v>96</v>
      </c>
      <c r="H556" s="26">
        <v>42226</v>
      </c>
      <c r="I556" s="25">
        <v>474</v>
      </c>
      <c r="J556" s="25" t="s">
        <v>51</v>
      </c>
      <c r="K556" s="27">
        <v>4489617.9610000001</v>
      </c>
      <c r="L556" s="25">
        <v>307</v>
      </c>
      <c r="M556" s="27">
        <v>57.074643322475545</v>
      </c>
      <c r="N556" s="27">
        <v>59.501499999999993</v>
      </c>
      <c r="O556" s="27">
        <v>72.223908229325644</v>
      </c>
      <c r="P556" s="27">
        <v>2690.7689999999998</v>
      </c>
      <c r="Q556" s="27">
        <v>2716.9830000000002</v>
      </c>
      <c r="R556" s="27">
        <v>826066.19400000002</v>
      </c>
      <c r="S556" s="27">
        <f t="shared" si="8"/>
        <v>0.18399476329072892</v>
      </c>
    </row>
    <row r="557" spans="1:19" x14ac:dyDescent="0.25">
      <c r="A557" s="19">
        <v>550</v>
      </c>
      <c r="B557" s="19" t="s">
        <v>58</v>
      </c>
      <c r="C557" s="19" t="s">
        <v>95</v>
      </c>
      <c r="D557" s="20" t="s">
        <v>111</v>
      </c>
      <c r="E557" s="25" t="s">
        <v>112</v>
      </c>
      <c r="F557" s="25" t="s">
        <v>956</v>
      </c>
      <c r="G557" s="25" t="s">
        <v>96</v>
      </c>
      <c r="H557" s="26">
        <v>42234</v>
      </c>
      <c r="I557" s="25">
        <v>476</v>
      </c>
      <c r="J557" s="25" t="s">
        <v>51</v>
      </c>
      <c r="K557" s="27">
        <v>3503028.0750000002</v>
      </c>
      <c r="L557" s="25">
        <v>307</v>
      </c>
      <c r="M557" s="27">
        <v>47.266376221498334</v>
      </c>
      <c r="N557" s="27">
        <v>48.633499999999998</v>
      </c>
      <c r="O557" s="27">
        <v>56.22724938815572</v>
      </c>
      <c r="P557" s="27">
        <v>1780.192</v>
      </c>
      <c r="Q557" s="27">
        <v>1782.0719999999999</v>
      </c>
      <c r="R557" s="27">
        <v>553414.86800000025</v>
      </c>
      <c r="S557" s="27">
        <f t="shared" si="8"/>
        <v>0.15798185345688393</v>
      </c>
    </row>
    <row r="558" spans="1:19" x14ac:dyDescent="0.25">
      <c r="A558" s="19">
        <v>551</v>
      </c>
      <c r="B558" s="19" t="s">
        <v>58</v>
      </c>
      <c r="C558" s="19" t="s">
        <v>95</v>
      </c>
      <c r="D558" s="20" t="s">
        <v>111</v>
      </c>
      <c r="E558" s="25" t="s">
        <v>112</v>
      </c>
      <c r="F558" s="25" t="s">
        <v>957</v>
      </c>
      <c r="G558" s="25" t="s">
        <v>96</v>
      </c>
      <c r="H558" s="26">
        <v>42222</v>
      </c>
      <c r="I558" s="25">
        <v>478</v>
      </c>
      <c r="J558" s="25" t="s">
        <v>167</v>
      </c>
      <c r="K558" s="27">
        <v>4541200.2609999999</v>
      </c>
      <c r="L558" s="25">
        <v>179</v>
      </c>
      <c r="M558" s="27">
        <v>49.724927374301672</v>
      </c>
      <c r="N558" s="27">
        <v>52.005499999999998</v>
      </c>
      <c r="O558" s="27">
        <v>62.547703593855843</v>
      </c>
      <c r="P558" s="27">
        <v>1990.5129999999999</v>
      </c>
      <c r="Q558" s="27">
        <v>2015.9159999999999</v>
      </c>
      <c r="R558" s="27">
        <v>356301.90399999986</v>
      </c>
      <c r="S558" s="27">
        <f t="shared" si="8"/>
        <v>7.8459852797053267E-2</v>
      </c>
    </row>
    <row r="559" spans="1:19" x14ac:dyDescent="0.25">
      <c r="A559" s="19">
        <v>552</v>
      </c>
      <c r="B559" s="19" t="s">
        <v>58</v>
      </c>
      <c r="C559" s="19" t="s">
        <v>95</v>
      </c>
      <c r="D559" s="20" t="s">
        <v>111</v>
      </c>
      <c r="E559" s="25" t="s">
        <v>112</v>
      </c>
      <c r="F559" s="25" t="s">
        <v>958</v>
      </c>
      <c r="G559" s="25" t="s">
        <v>96</v>
      </c>
      <c r="H559" s="26">
        <v>42226</v>
      </c>
      <c r="I559" s="25">
        <v>479</v>
      </c>
      <c r="J559" s="25" t="s">
        <v>51</v>
      </c>
      <c r="K559" s="27">
        <v>3395576.56</v>
      </c>
      <c r="L559" s="25">
        <v>221</v>
      </c>
      <c r="M559" s="27">
        <v>53.879203619909489</v>
      </c>
      <c r="N559" s="27">
        <v>55.168999999999997</v>
      </c>
      <c r="O559" s="27">
        <v>62.63492535590516</v>
      </c>
      <c r="P559" s="27">
        <v>2287.8969999999999</v>
      </c>
      <c r="Q559" s="27">
        <v>2289.6680000000001</v>
      </c>
      <c r="R559" s="27">
        <v>505625.33499999967</v>
      </c>
      <c r="S559" s="27">
        <f t="shared" si="8"/>
        <v>0.14890706366520556</v>
      </c>
    </row>
    <row r="560" spans="1:19" x14ac:dyDescent="0.25">
      <c r="A560" s="19">
        <v>553</v>
      </c>
      <c r="B560" s="19" t="s">
        <v>58</v>
      </c>
      <c r="C560" s="19" t="s">
        <v>95</v>
      </c>
      <c r="D560" s="20" t="s">
        <v>111</v>
      </c>
      <c r="E560" s="25" t="s">
        <v>112</v>
      </c>
      <c r="F560" s="25" t="s">
        <v>959</v>
      </c>
      <c r="G560" s="25" t="s">
        <v>96</v>
      </c>
      <c r="H560" s="26">
        <v>42226</v>
      </c>
      <c r="I560" s="25">
        <v>480</v>
      </c>
      <c r="J560" s="25" t="s">
        <v>171</v>
      </c>
      <c r="K560" s="27">
        <v>4042562.253</v>
      </c>
      <c r="L560" s="25">
        <v>108</v>
      </c>
      <c r="M560" s="27">
        <v>77.088453703703692</v>
      </c>
      <c r="N560" s="27">
        <v>79.986750000000001</v>
      </c>
      <c r="O560" s="27">
        <v>109.43877954192548</v>
      </c>
      <c r="P560" s="27">
        <v>5208.9979999999996</v>
      </c>
      <c r="Q560" s="27">
        <v>4813.6479999999992</v>
      </c>
      <c r="R560" s="27">
        <v>562571.82399999979</v>
      </c>
      <c r="S560" s="27">
        <f t="shared" si="8"/>
        <v>0.13916219189513115</v>
      </c>
    </row>
    <row r="561" spans="1:19" x14ac:dyDescent="0.25">
      <c r="A561" s="19">
        <v>554</v>
      </c>
      <c r="B561" s="19" t="s">
        <v>58</v>
      </c>
      <c r="C561" s="19" t="s">
        <v>95</v>
      </c>
      <c r="D561" s="20" t="s">
        <v>111</v>
      </c>
      <c r="E561" s="25" t="s">
        <v>112</v>
      </c>
      <c r="F561" s="25" t="s">
        <v>960</v>
      </c>
      <c r="G561" s="25" t="s">
        <v>96</v>
      </c>
      <c r="H561" s="26">
        <v>42234</v>
      </c>
      <c r="I561" s="25">
        <v>481</v>
      </c>
      <c r="J561" s="25" t="s">
        <v>241</v>
      </c>
      <c r="K561" s="27">
        <v>4574284.3470000001</v>
      </c>
      <c r="L561" s="25">
        <v>90</v>
      </c>
      <c r="M561" s="27">
        <v>76.275088888888874</v>
      </c>
      <c r="N561" s="27">
        <v>81.364249999999998</v>
      </c>
      <c r="O561" s="27">
        <v>94.024888219306959</v>
      </c>
      <c r="P561" s="27">
        <v>4660.7079999999996</v>
      </c>
      <c r="Q561" s="27">
        <v>5085.9994999999999</v>
      </c>
      <c r="R561" s="27">
        <v>419463.69799999986</v>
      </c>
      <c r="S561" s="27">
        <f t="shared" si="8"/>
        <v>9.1700398615381457E-2</v>
      </c>
    </row>
    <row r="562" spans="1:19" x14ac:dyDescent="0.25">
      <c r="A562" s="19">
        <v>555</v>
      </c>
      <c r="B562" s="19" t="s">
        <v>58</v>
      </c>
      <c r="C562" s="19" t="s">
        <v>95</v>
      </c>
      <c r="D562" s="20" t="s">
        <v>111</v>
      </c>
      <c r="E562" s="25" t="s">
        <v>112</v>
      </c>
      <c r="F562" s="25" t="s">
        <v>117</v>
      </c>
      <c r="G562" s="25" t="s">
        <v>96</v>
      </c>
      <c r="H562" s="26">
        <v>42222</v>
      </c>
      <c r="I562" s="25">
        <v>483</v>
      </c>
      <c r="J562" s="25" t="s">
        <v>51</v>
      </c>
      <c r="K562" s="27">
        <v>4275778.898</v>
      </c>
      <c r="L562" s="25">
        <v>379</v>
      </c>
      <c r="M562" s="27">
        <v>42.630069920844335</v>
      </c>
      <c r="N562" s="27">
        <v>45.039000000000001</v>
      </c>
      <c r="O562" s="27">
        <v>51.542738143159674</v>
      </c>
      <c r="P562" s="27">
        <v>1448.5229999999999</v>
      </c>
      <c r="Q562" s="27">
        <v>1489.4159999999999</v>
      </c>
      <c r="R562" s="27">
        <v>548990.16799999971</v>
      </c>
      <c r="S562" s="27">
        <f t="shared" si="8"/>
        <v>0.12839535932430707</v>
      </c>
    </row>
    <row r="563" spans="1:19" x14ac:dyDescent="0.25">
      <c r="A563" s="19">
        <v>556</v>
      </c>
      <c r="B563" s="19" t="s">
        <v>58</v>
      </c>
      <c r="C563" s="19" t="s">
        <v>95</v>
      </c>
      <c r="D563" s="20" t="s">
        <v>111</v>
      </c>
      <c r="E563" s="25" t="s">
        <v>112</v>
      </c>
      <c r="F563" s="25" t="s">
        <v>118</v>
      </c>
      <c r="G563" s="25" t="s">
        <v>96</v>
      </c>
      <c r="H563" s="26">
        <v>42222</v>
      </c>
      <c r="I563" s="25">
        <v>485</v>
      </c>
      <c r="J563" s="25" t="s">
        <v>51</v>
      </c>
      <c r="K563" s="27">
        <v>3120807.4870000002</v>
      </c>
      <c r="L563" s="25">
        <v>318</v>
      </c>
      <c r="M563" s="27">
        <v>41.398067610062924</v>
      </c>
      <c r="N563" s="27">
        <v>41.480999999999995</v>
      </c>
      <c r="O563" s="27">
        <v>55.03852799310831</v>
      </c>
      <c r="P563" s="27">
        <v>1372.1320000000001</v>
      </c>
      <c r="Q563" s="27">
        <v>1235.5014999999999</v>
      </c>
      <c r="R563" s="27">
        <v>436338.07099999971</v>
      </c>
      <c r="S563" s="27">
        <f t="shared" si="8"/>
        <v>0.13981576012541772</v>
      </c>
    </row>
    <row r="564" spans="1:19" x14ac:dyDescent="0.25">
      <c r="A564" s="19">
        <v>557</v>
      </c>
      <c r="B564" s="19" t="s">
        <v>58</v>
      </c>
      <c r="C564" s="19" t="s">
        <v>95</v>
      </c>
      <c r="D564" s="20" t="s">
        <v>111</v>
      </c>
      <c r="E564" s="25" t="s">
        <v>112</v>
      </c>
      <c r="F564" s="25" t="s">
        <v>961</v>
      </c>
      <c r="G564" s="25" t="s">
        <v>96</v>
      </c>
      <c r="H564" s="26">
        <v>42236</v>
      </c>
      <c r="I564" s="25">
        <v>486</v>
      </c>
      <c r="J564" s="25" t="s">
        <v>207</v>
      </c>
      <c r="K564" s="27">
        <v>3585405.611</v>
      </c>
      <c r="L564" s="25">
        <v>76</v>
      </c>
      <c r="M564" s="27">
        <v>68.105453947368417</v>
      </c>
      <c r="N564" s="27">
        <v>67.941000000000003</v>
      </c>
      <c r="O564" s="27">
        <v>86.680772196306975</v>
      </c>
      <c r="P564" s="27">
        <v>3769.364</v>
      </c>
      <c r="Q564" s="27">
        <v>3457.8375000000001</v>
      </c>
      <c r="R564" s="27">
        <v>286471.647</v>
      </c>
      <c r="S564" s="27">
        <f t="shared" si="8"/>
        <v>7.9899369299001183E-2</v>
      </c>
    </row>
    <row r="565" spans="1:19" x14ac:dyDescent="0.25">
      <c r="A565" s="19">
        <v>558</v>
      </c>
      <c r="B565" s="19" t="s">
        <v>58</v>
      </c>
      <c r="C565" s="19" t="s">
        <v>95</v>
      </c>
      <c r="D565" s="20" t="s">
        <v>111</v>
      </c>
      <c r="E565" s="25" t="s">
        <v>112</v>
      </c>
      <c r="F565" s="25" t="s">
        <v>929</v>
      </c>
      <c r="G565" s="25" t="s">
        <v>97</v>
      </c>
      <c r="H565" s="26">
        <v>42228</v>
      </c>
      <c r="I565" s="25">
        <v>2832</v>
      </c>
      <c r="J565" s="25" t="s">
        <v>337</v>
      </c>
      <c r="K565" s="27">
        <v>4536668</v>
      </c>
      <c r="L565" s="25">
        <v>110</v>
      </c>
      <c r="M565" s="27">
        <v>86.073127272727348</v>
      </c>
      <c r="N565" s="27">
        <v>90.374250000000004</v>
      </c>
      <c r="O565" s="27">
        <v>109.12540614749281</v>
      </c>
      <c r="P565" s="27">
        <v>6138.2169999999996</v>
      </c>
      <c r="Q565" s="27">
        <v>6220.4485000000004</v>
      </c>
      <c r="R565" s="27">
        <v>675203.85299999989</v>
      </c>
      <c r="S565" s="27">
        <f t="shared" si="8"/>
        <v>0.14883254692651079</v>
      </c>
    </row>
    <row r="566" spans="1:19" x14ac:dyDescent="0.25">
      <c r="A566" s="19">
        <v>559</v>
      </c>
      <c r="B566" s="19" t="s">
        <v>385</v>
      </c>
      <c r="C566" s="19" t="s">
        <v>98</v>
      </c>
      <c r="D566" s="19" t="s">
        <v>1010</v>
      </c>
      <c r="E566" s="25" t="s">
        <v>967</v>
      </c>
      <c r="F566" s="25" t="s">
        <v>997</v>
      </c>
      <c r="G566" s="25" t="s">
        <v>97</v>
      </c>
      <c r="H566" s="26">
        <v>42340</v>
      </c>
      <c r="I566" s="25">
        <v>51</v>
      </c>
      <c r="J566" s="25" t="s">
        <v>367</v>
      </c>
      <c r="K566" s="27">
        <v>4011404.7</v>
      </c>
      <c r="L566" s="25">
        <v>182</v>
      </c>
      <c r="M566" s="27">
        <v>58.080145600000002</v>
      </c>
      <c r="N566" s="27">
        <v>59.215499999999999</v>
      </c>
      <c r="O566" s="27">
        <v>78.683476679999998</v>
      </c>
      <c r="P566" s="27">
        <v>2810.857</v>
      </c>
      <c r="Q566" s="27">
        <v>2593.643</v>
      </c>
      <c r="R566" s="27">
        <v>511575.99800000002</v>
      </c>
      <c r="S566" s="27">
        <f t="shared" si="8"/>
        <v>0.12753038804586334</v>
      </c>
    </row>
    <row r="567" spans="1:19" x14ac:dyDescent="0.25">
      <c r="A567" s="19">
        <v>560</v>
      </c>
      <c r="B567" s="19" t="s">
        <v>385</v>
      </c>
      <c r="C567" s="19" t="s">
        <v>98</v>
      </c>
      <c r="D567" s="19" t="s">
        <v>1010</v>
      </c>
      <c r="E567" s="25" t="s">
        <v>967</v>
      </c>
      <c r="F567" s="25" t="s">
        <v>998</v>
      </c>
      <c r="G567" s="25" t="s">
        <v>97</v>
      </c>
      <c r="H567" s="26">
        <v>42340</v>
      </c>
      <c r="I567" s="25">
        <v>52</v>
      </c>
      <c r="J567" s="25" t="s">
        <v>999</v>
      </c>
      <c r="K567" s="27">
        <v>4330146.0939999996</v>
      </c>
      <c r="L567" s="25">
        <v>192</v>
      </c>
      <c r="M567" s="27">
        <v>66.309984375000013</v>
      </c>
      <c r="N567" s="27">
        <v>68.972750000000005</v>
      </c>
      <c r="O567" s="27">
        <v>77.402892258024067</v>
      </c>
      <c r="P567" s="27">
        <v>3522.0250000000001</v>
      </c>
      <c r="Q567" s="27">
        <v>3604.402</v>
      </c>
      <c r="R567" s="27">
        <v>676228.84700000007</v>
      </c>
      <c r="S567" s="27">
        <f t="shared" si="8"/>
        <v>0.15616767478977353</v>
      </c>
    </row>
    <row r="568" spans="1:19" x14ac:dyDescent="0.25">
      <c r="A568" s="19">
        <v>561</v>
      </c>
      <c r="B568" s="19" t="s">
        <v>385</v>
      </c>
      <c r="C568" s="19" t="s">
        <v>98</v>
      </c>
      <c r="D568" s="19" t="s">
        <v>1010</v>
      </c>
      <c r="E568" s="25" t="s">
        <v>967</v>
      </c>
      <c r="F568" s="25" t="s">
        <v>1000</v>
      </c>
      <c r="G568" s="25" t="s">
        <v>96</v>
      </c>
      <c r="H568" s="26">
        <v>42340</v>
      </c>
      <c r="I568" s="25">
        <v>54</v>
      </c>
      <c r="J568" s="25" t="s">
        <v>365</v>
      </c>
      <c r="K568" s="27">
        <v>4356521.5060000001</v>
      </c>
      <c r="L568" s="25">
        <v>198</v>
      </c>
      <c r="M568" s="27">
        <v>49.123320707070739</v>
      </c>
      <c r="N568" s="27">
        <v>45.331999999999994</v>
      </c>
      <c r="O568" s="27">
        <v>81.512903490476205</v>
      </c>
      <c r="P568" s="27">
        <v>2184.8539999999998</v>
      </c>
      <c r="Q568" s="27">
        <v>1520.5725</v>
      </c>
      <c r="R568" s="27">
        <v>432600.98900000035</v>
      </c>
      <c r="S568" s="27">
        <f t="shared" si="8"/>
        <v>9.9299633527391643E-2</v>
      </c>
    </row>
    <row r="569" spans="1:19" x14ac:dyDescent="0.25">
      <c r="A569" s="19">
        <v>562</v>
      </c>
      <c r="B569" s="19" t="s">
        <v>385</v>
      </c>
      <c r="C569" s="19" t="s">
        <v>98</v>
      </c>
      <c r="D569" s="19" t="s">
        <v>1010</v>
      </c>
      <c r="E569" s="25" t="s">
        <v>967</v>
      </c>
      <c r="F569" s="25" t="s">
        <v>1001</v>
      </c>
      <c r="G569" s="25" t="s">
        <v>96</v>
      </c>
      <c r="H569" s="26">
        <v>42339</v>
      </c>
      <c r="I569" s="25">
        <v>55</v>
      </c>
      <c r="J569" s="25" t="s">
        <v>365</v>
      </c>
      <c r="K569" s="27">
        <v>3583371.6069999998</v>
      </c>
      <c r="L569" s="25">
        <v>212</v>
      </c>
      <c r="M569" s="27">
        <v>49.549726415094362</v>
      </c>
      <c r="N569" s="27">
        <v>48.939</v>
      </c>
      <c r="O569" s="27">
        <v>70.872915857797111</v>
      </c>
      <c r="P569" s="27">
        <v>2113.855</v>
      </c>
      <c r="Q569" s="27">
        <v>1758.9680000000001</v>
      </c>
      <c r="R569" s="27">
        <v>448137.17700000003</v>
      </c>
      <c r="S569" s="27">
        <f t="shared" si="8"/>
        <v>0.12506020199651596</v>
      </c>
    </row>
    <row r="570" spans="1:19" x14ac:dyDescent="0.25">
      <c r="A570" s="19">
        <v>563</v>
      </c>
      <c r="B570" s="19" t="s">
        <v>385</v>
      </c>
      <c r="C570" s="19" t="s">
        <v>98</v>
      </c>
      <c r="D570" s="19" t="s">
        <v>1010</v>
      </c>
      <c r="E570" s="25" t="s">
        <v>967</v>
      </c>
      <c r="F570" s="25" t="s">
        <v>1002</v>
      </c>
      <c r="G570" s="25" t="s">
        <v>97</v>
      </c>
      <c r="H570" s="26">
        <v>42339</v>
      </c>
      <c r="I570" s="25">
        <v>57</v>
      </c>
      <c r="J570" s="25" t="s">
        <v>367</v>
      </c>
      <c r="K570" s="27">
        <v>4330091.017</v>
      </c>
      <c r="L570" s="25">
        <v>176</v>
      </c>
      <c r="M570" s="27">
        <v>50.811400568181831</v>
      </c>
      <c r="N570" s="27">
        <v>51.880249999999997</v>
      </c>
      <c r="O570" s="27">
        <v>68.226568610083632</v>
      </c>
      <c r="P570" s="27">
        <v>2191.3490000000002</v>
      </c>
      <c r="Q570" s="27">
        <v>2012.299</v>
      </c>
      <c r="R570" s="27">
        <v>385677.3820000001</v>
      </c>
      <c r="S570" s="27">
        <f t="shared" si="8"/>
        <v>8.9069116673489102E-2</v>
      </c>
    </row>
    <row r="571" spans="1:19" x14ac:dyDescent="0.25">
      <c r="A571" s="19">
        <v>564</v>
      </c>
      <c r="B571" s="19" t="s">
        <v>385</v>
      </c>
      <c r="C571" s="19" t="s">
        <v>98</v>
      </c>
      <c r="D571" s="19" t="s">
        <v>1010</v>
      </c>
      <c r="E571" s="25" t="s">
        <v>967</v>
      </c>
      <c r="F571" s="25" t="s">
        <v>1003</v>
      </c>
      <c r="G571" s="25" t="s">
        <v>97</v>
      </c>
      <c r="H571" s="26">
        <v>42340</v>
      </c>
      <c r="I571" s="25">
        <v>58</v>
      </c>
      <c r="J571" s="32" t="s">
        <v>1016</v>
      </c>
      <c r="K571" s="27">
        <v>3894182.8280000002</v>
      </c>
      <c r="L571" s="25">
        <v>208</v>
      </c>
      <c r="M571" s="27">
        <v>57.822026442307681</v>
      </c>
      <c r="N571" s="27">
        <v>59.830749999999995</v>
      </c>
      <c r="O571" s="27">
        <v>70.528793777737633</v>
      </c>
      <c r="P571" s="27">
        <v>2680.4050000000002</v>
      </c>
      <c r="Q571" s="27">
        <v>2664.94</v>
      </c>
      <c r="R571" s="27">
        <v>557524.32700000016</v>
      </c>
      <c r="S571" s="27">
        <f t="shared" si="8"/>
        <v>0.14316850328425312</v>
      </c>
    </row>
    <row r="572" spans="1:19" x14ac:dyDescent="0.25">
      <c r="A572" s="19">
        <v>565</v>
      </c>
      <c r="B572" s="19" t="s">
        <v>385</v>
      </c>
      <c r="C572" s="19" t="s">
        <v>98</v>
      </c>
      <c r="D572" s="19" t="s">
        <v>1010</v>
      </c>
      <c r="E572" s="25" t="s">
        <v>967</v>
      </c>
      <c r="F572" s="25" t="s">
        <v>1004</v>
      </c>
      <c r="G572" s="25" t="s">
        <v>97</v>
      </c>
      <c r="H572" s="26">
        <v>42341</v>
      </c>
      <c r="I572" s="25">
        <v>60</v>
      </c>
      <c r="J572" s="25" t="s">
        <v>367</v>
      </c>
      <c r="K572" s="27">
        <v>3948165.4180000001</v>
      </c>
      <c r="L572" s="25">
        <v>221</v>
      </c>
      <c r="M572" s="27">
        <v>48.696633480000003</v>
      </c>
      <c r="N572" s="27">
        <v>47.902000000000001</v>
      </c>
      <c r="O572" s="27">
        <v>67.91364815</v>
      </c>
      <c r="P572" s="27">
        <v>2016.921</v>
      </c>
      <c r="Q572" s="27">
        <v>1696.422</v>
      </c>
      <c r="R572" s="27">
        <v>445739.45400000003</v>
      </c>
      <c r="S572" s="27">
        <f t="shared" si="8"/>
        <v>0.112897866935321</v>
      </c>
    </row>
    <row r="573" spans="1:19" x14ac:dyDescent="0.25">
      <c r="A573" s="19">
        <v>566</v>
      </c>
      <c r="B573" s="19" t="s">
        <v>385</v>
      </c>
      <c r="C573" s="19" t="s">
        <v>98</v>
      </c>
      <c r="D573" s="19" t="s">
        <v>1010</v>
      </c>
      <c r="E573" s="25" t="s">
        <v>967</v>
      </c>
      <c r="F573" s="25" t="s">
        <v>1005</v>
      </c>
      <c r="G573" s="25" t="s">
        <v>97</v>
      </c>
      <c r="H573" s="26">
        <v>42340</v>
      </c>
      <c r="I573" s="25">
        <v>61</v>
      </c>
      <c r="J573" s="25" t="s">
        <v>367</v>
      </c>
      <c r="K573" s="27">
        <v>4225084.3660000004</v>
      </c>
      <c r="L573" s="25">
        <v>271</v>
      </c>
      <c r="M573" s="27">
        <v>49.773898523985231</v>
      </c>
      <c r="N573" s="27">
        <v>52.164500000000004</v>
      </c>
      <c r="O573" s="27">
        <v>69.055553801618061</v>
      </c>
      <c r="P573" s="27">
        <v>2157.9229999999998</v>
      </c>
      <c r="Q573" s="27">
        <v>2044.155</v>
      </c>
      <c r="R573" s="27">
        <v>584797.0770000004</v>
      </c>
      <c r="S573" s="27">
        <f t="shared" si="8"/>
        <v>0.13841074552403396</v>
      </c>
    </row>
    <row r="574" spans="1:19" x14ac:dyDescent="0.25">
      <c r="A574" s="19">
        <v>567</v>
      </c>
      <c r="B574" s="19" t="s">
        <v>385</v>
      </c>
      <c r="C574" s="19" t="s">
        <v>98</v>
      </c>
      <c r="D574" s="19" t="s">
        <v>1010</v>
      </c>
      <c r="E574" s="25" t="s">
        <v>967</v>
      </c>
      <c r="F574" s="25" t="s">
        <v>1006</v>
      </c>
      <c r="G574" s="25" t="s">
        <v>97</v>
      </c>
      <c r="H574" s="26">
        <v>42340</v>
      </c>
      <c r="I574" s="25">
        <v>62</v>
      </c>
      <c r="J574" s="25" t="s">
        <v>367</v>
      </c>
      <c r="K574" s="27">
        <v>3945093.9350000001</v>
      </c>
      <c r="L574" s="25">
        <v>175</v>
      </c>
      <c r="M574" s="27">
        <v>45.405465714285697</v>
      </c>
      <c r="N574" s="27">
        <v>45.676000000000002</v>
      </c>
      <c r="O574" s="27">
        <v>70.779161700303064</v>
      </c>
      <c r="P574" s="27">
        <v>1884.585</v>
      </c>
      <c r="Q574" s="27">
        <v>1542.393</v>
      </c>
      <c r="R574" s="27">
        <v>329802.32599999977</v>
      </c>
      <c r="S574" s="27">
        <f t="shared" si="8"/>
        <v>8.3598092069257599E-2</v>
      </c>
    </row>
    <row r="575" spans="1:19" x14ac:dyDescent="0.25">
      <c r="A575" s="19">
        <v>568</v>
      </c>
      <c r="B575" s="19" t="s">
        <v>385</v>
      </c>
      <c r="C575" s="19" t="s">
        <v>98</v>
      </c>
      <c r="D575" s="19" t="s">
        <v>1010</v>
      </c>
      <c r="E575" s="25" t="s">
        <v>967</v>
      </c>
      <c r="F575" s="25" t="s">
        <v>966</v>
      </c>
      <c r="G575" s="25" t="s">
        <v>96</v>
      </c>
      <c r="H575" s="26">
        <v>42341</v>
      </c>
      <c r="I575" s="25">
        <v>111</v>
      </c>
      <c r="J575" s="25" t="s">
        <v>367</v>
      </c>
      <c r="K575" s="27">
        <v>4694944.5729999999</v>
      </c>
      <c r="L575" s="25">
        <v>151</v>
      </c>
      <c r="M575" s="27">
        <v>61.370788079470195</v>
      </c>
      <c r="N575" s="27">
        <v>61.631499999999996</v>
      </c>
      <c r="O575" s="27">
        <v>82.183745940520367</v>
      </c>
      <c r="P575" s="27">
        <v>3149.4430000000002</v>
      </c>
      <c r="Q575" s="27">
        <v>2884.5479999999998</v>
      </c>
      <c r="R575" s="27">
        <v>475565.82099999982</v>
      </c>
      <c r="S575" s="27">
        <f t="shared" si="8"/>
        <v>0.10129317047424062</v>
      </c>
    </row>
    <row r="576" spans="1:19" x14ac:dyDescent="0.25">
      <c r="A576" s="19">
        <v>569</v>
      </c>
      <c r="B576" s="19" t="s">
        <v>385</v>
      </c>
      <c r="C576" s="19" t="s">
        <v>98</v>
      </c>
      <c r="D576" s="19" t="s">
        <v>1010</v>
      </c>
      <c r="E576" s="25" t="s">
        <v>967</v>
      </c>
      <c r="F576" s="25" t="s">
        <v>969</v>
      </c>
      <c r="G576" s="25" t="s">
        <v>97</v>
      </c>
      <c r="H576" s="26">
        <v>42341</v>
      </c>
      <c r="I576" s="25">
        <v>114</v>
      </c>
      <c r="J576" s="25" t="s">
        <v>226</v>
      </c>
      <c r="K576" s="27">
        <v>4754150.3890000004</v>
      </c>
      <c r="L576" s="25">
        <v>99</v>
      </c>
      <c r="M576" s="27">
        <v>74.961949494949494</v>
      </c>
      <c r="N576" s="27">
        <v>76.103000000000009</v>
      </c>
      <c r="O576" s="27">
        <v>102.6174304614225</v>
      </c>
      <c r="P576" s="27">
        <v>4794.8599999999997</v>
      </c>
      <c r="Q576" s="27">
        <v>4368.5969999999998</v>
      </c>
      <c r="R576" s="27">
        <v>474691.12299999973</v>
      </c>
      <c r="S576" s="27">
        <f t="shared" si="8"/>
        <v>9.9847729701257396E-2</v>
      </c>
    </row>
    <row r="577" spans="1:19" x14ac:dyDescent="0.25">
      <c r="A577" s="19">
        <v>570</v>
      </c>
      <c r="B577" s="19" t="s">
        <v>385</v>
      </c>
      <c r="C577" s="19" t="s">
        <v>98</v>
      </c>
      <c r="D577" s="19" t="s">
        <v>1010</v>
      </c>
      <c r="E577" s="25" t="s">
        <v>967</v>
      </c>
      <c r="F577" s="25" t="s">
        <v>970</v>
      </c>
      <c r="G577" s="25" t="s">
        <v>97</v>
      </c>
      <c r="H577" s="26">
        <v>42341</v>
      </c>
      <c r="I577" s="25">
        <v>116</v>
      </c>
      <c r="J577" s="25" t="s">
        <v>215</v>
      </c>
      <c r="K577" s="27">
        <v>3295772.83</v>
      </c>
      <c r="L577" s="25">
        <v>215</v>
      </c>
      <c r="M577" s="27">
        <v>40.247758140000002</v>
      </c>
      <c r="N577" s="27">
        <v>39.86</v>
      </c>
      <c r="O577" s="27">
        <v>58.432831530000001</v>
      </c>
      <c r="P577" s="27">
        <v>1389.921</v>
      </c>
      <c r="Q577" s="27">
        <v>1147.518</v>
      </c>
      <c r="R577" s="27">
        <v>298833.11499999999</v>
      </c>
      <c r="S577" s="27">
        <f t="shared" si="8"/>
        <v>9.0671636187983254E-2</v>
      </c>
    </row>
    <row r="578" spans="1:19" x14ac:dyDescent="0.25">
      <c r="A578" s="19">
        <v>571</v>
      </c>
      <c r="B578" s="19" t="s">
        <v>385</v>
      </c>
      <c r="C578" s="19" t="s">
        <v>98</v>
      </c>
      <c r="D578" s="19" t="s">
        <v>1010</v>
      </c>
      <c r="E578" s="25" t="s">
        <v>967</v>
      </c>
      <c r="F578" s="25" t="s">
        <v>971</v>
      </c>
      <c r="G578" s="25" t="s">
        <v>97</v>
      </c>
      <c r="H578" s="26">
        <v>42341</v>
      </c>
      <c r="I578" s="25">
        <v>117</v>
      </c>
      <c r="J578" s="25" t="s">
        <v>236</v>
      </c>
      <c r="K578" s="27">
        <v>4105360.9190000002</v>
      </c>
      <c r="L578" s="25">
        <v>187</v>
      </c>
      <c r="M578" s="27">
        <v>56.616398395721944</v>
      </c>
      <c r="N578" s="27">
        <v>59.520499999999998</v>
      </c>
      <c r="O578" s="27">
        <v>70.127180430582939</v>
      </c>
      <c r="P578" s="27">
        <v>2601.029</v>
      </c>
      <c r="Q578" s="27">
        <v>2632.7339999999999</v>
      </c>
      <c r="R578" s="27">
        <v>486392.45700000017</v>
      </c>
      <c r="S578" s="27">
        <f t="shared" si="8"/>
        <v>0.11847739251107733</v>
      </c>
    </row>
    <row r="579" spans="1:19" x14ac:dyDescent="0.25">
      <c r="A579" s="19">
        <v>572</v>
      </c>
      <c r="B579" s="19" t="s">
        <v>385</v>
      </c>
      <c r="C579" s="19" t="s">
        <v>98</v>
      </c>
      <c r="D579" s="19" t="s">
        <v>1010</v>
      </c>
      <c r="E579" s="25" t="s">
        <v>967</v>
      </c>
      <c r="F579" s="25" t="s">
        <v>972</v>
      </c>
      <c r="G579" s="25" t="s">
        <v>96</v>
      </c>
      <c r="H579" s="26">
        <v>42341</v>
      </c>
      <c r="I579" s="25">
        <v>118</v>
      </c>
      <c r="J579" s="25" t="s">
        <v>367</v>
      </c>
      <c r="K579" s="27">
        <v>4519100.7960000001</v>
      </c>
      <c r="L579" s="25">
        <v>173</v>
      </c>
      <c r="M579" s="27">
        <v>63.053098265895976</v>
      </c>
      <c r="N579" s="27">
        <v>66.777999999999992</v>
      </c>
      <c r="O579" s="27">
        <v>89.271068912240139</v>
      </c>
      <c r="P579" s="27">
        <v>3501.8020000000001</v>
      </c>
      <c r="Q579" s="27">
        <v>3395.8789999999999</v>
      </c>
      <c r="R579" s="27">
        <v>605811.80500000017</v>
      </c>
      <c r="S579" s="27">
        <f t="shared" si="8"/>
        <v>0.13405582932255539</v>
      </c>
    </row>
    <row r="580" spans="1:19" x14ac:dyDescent="0.25">
      <c r="A580" s="19">
        <v>573</v>
      </c>
      <c r="B580" s="19" t="s">
        <v>385</v>
      </c>
      <c r="C580" s="19" t="s">
        <v>98</v>
      </c>
      <c r="D580" s="19" t="s">
        <v>1010</v>
      </c>
      <c r="E580" s="25" t="s">
        <v>967</v>
      </c>
      <c r="F580" s="25" t="s">
        <v>973</v>
      </c>
      <c r="G580" s="25" t="s">
        <v>97</v>
      </c>
      <c r="H580" s="26">
        <v>42341</v>
      </c>
      <c r="I580" s="25">
        <v>119</v>
      </c>
      <c r="J580" s="25" t="s">
        <v>367</v>
      </c>
      <c r="K580" s="27">
        <v>4142967.1639999999</v>
      </c>
      <c r="L580" s="25">
        <v>153</v>
      </c>
      <c r="M580" s="27">
        <v>52.671281049999997</v>
      </c>
      <c r="N580" s="27">
        <v>55.22</v>
      </c>
      <c r="O580" s="27">
        <v>69.521622949999994</v>
      </c>
      <c r="P580" s="27">
        <v>2328.67</v>
      </c>
      <c r="Q580" s="27">
        <v>2309.2719999999999</v>
      </c>
      <c r="R580" s="27">
        <v>356286.49400000001</v>
      </c>
      <c r="S580" s="27">
        <f t="shared" si="8"/>
        <v>8.5997904375377285E-2</v>
      </c>
    </row>
    <row r="581" spans="1:19" x14ac:dyDescent="0.25">
      <c r="A581" s="19">
        <v>574</v>
      </c>
      <c r="B581" s="19" t="s">
        <v>385</v>
      </c>
      <c r="C581" s="19" t="s">
        <v>98</v>
      </c>
      <c r="D581" s="19" t="s">
        <v>1010</v>
      </c>
      <c r="E581" s="25" t="s">
        <v>967</v>
      </c>
      <c r="F581" s="25" t="s">
        <v>974</v>
      </c>
      <c r="G581" s="25" t="s">
        <v>97</v>
      </c>
      <c r="H581" s="26">
        <v>42341</v>
      </c>
      <c r="I581" s="25">
        <v>120</v>
      </c>
      <c r="J581" s="25" t="s">
        <v>367</v>
      </c>
      <c r="K581" s="27">
        <v>7027867.3949999996</v>
      </c>
      <c r="L581" s="25">
        <v>251</v>
      </c>
      <c r="M581" s="27">
        <v>53.303649402390391</v>
      </c>
      <c r="N581" s="27">
        <v>52.613500000000002</v>
      </c>
      <c r="O581" s="27">
        <v>81.157858372466819</v>
      </c>
      <c r="P581" s="27">
        <v>2517.027</v>
      </c>
      <c r="Q581" s="27">
        <v>2056.2910000000002</v>
      </c>
      <c r="R581" s="27">
        <v>631773.66999999981</v>
      </c>
      <c r="S581" s="27">
        <f t="shared" si="8"/>
        <v>8.9895502360997498E-2</v>
      </c>
    </row>
    <row r="582" spans="1:19" x14ac:dyDescent="0.25">
      <c r="A582" s="19">
        <v>575</v>
      </c>
      <c r="B582" s="19" t="s">
        <v>385</v>
      </c>
      <c r="C582" s="19" t="s">
        <v>98</v>
      </c>
      <c r="D582" s="19" t="s">
        <v>1010</v>
      </c>
      <c r="E582" s="25" t="s">
        <v>967</v>
      </c>
      <c r="F582" s="25" t="s">
        <v>975</v>
      </c>
      <c r="G582" s="25" t="s">
        <v>97</v>
      </c>
      <c r="H582" s="26">
        <v>42339</v>
      </c>
      <c r="I582" s="25">
        <v>122</v>
      </c>
      <c r="J582" s="25" t="s">
        <v>968</v>
      </c>
      <c r="K582" s="27">
        <v>4337178.2309999997</v>
      </c>
      <c r="L582" s="25">
        <v>275</v>
      </c>
      <c r="M582" s="27">
        <v>73.740414549999997</v>
      </c>
      <c r="N582" s="27">
        <v>75.382499999999993</v>
      </c>
      <c r="O582" s="27">
        <v>95.575459839999994</v>
      </c>
      <c r="P582" s="27">
        <v>4547</v>
      </c>
      <c r="Q582" s="27">
        <v>4341.5249999999996</v>
      </c>
      <c r="R582" s="27">
        <v>1250424.976</v>
      </c>
      <c r="S582" s="27">
        <f t="shared" si="8"/>
        <v>0.28830380247290327</v>
      </c>
    </row>
    <row r="583" spans="1:19" x14ac:dyDescent="0.25">
      <c r="A583" s="19">
        <v>576</v>
      </c>
      <c r="B583" s="19" t="s">
        <v>385</v>
      </c>
      <c r="C583" s="19" t="s">
        <v>98</v>
      </c>
      <c r="D583" s="19" t="s">
        <v>1010</v>
      </c>
      <c r="E583" s="25" t="s">
        <v>967</v>
      </c>
      <c r="F583" s="25" t="s">
        <v>976</v>
      </c>
      <c r="G583" s="25" t="s">
        <v>96</v>
      </c>
      <c r="H583" s="26">
        <v>42339</v>
      </c>
      <c r="I583" s="25">
        <v>122</v>
      </c>
      <c r="J583" s="25" t="s">
        <v>968</v>
      </c>
      <c r="K583" s="27">
        <v>3905660.3420000002</v>
      </c>
      <c r="L583" s="25">
        <v>225</v>
      </c>
      <c r="M583" s="27">
        <v>67.446333333333342</v>
      </c>
      <c r="N583" s="27">
        <v>71.043499999999995</v>
      </c>
      <c r="O583" s="27">
        <v>85.221085209189738</v>
      </c>
      <c r="P583" s="27">
        <v>3765.1819999999998</v>
      </c>
      <c r="Q583" s="27">
        <v>3677.0990000000002</v>
      </c>
      <c r="R583" s="27">
        <v>847165.86899999995</v>
      </c>
      <c r="S583" s="27">
        <f t="shared" si="8"/>
        <v>0.21690720513760434</v>
      </c>
    </row>
    <row r="584" spans="1:19" x14ac:dyDescent="0.25">
      <c r="A584" s="19">
        <v>577</v>
      </c>
      <c r="B584" s="19" t="s">
        <v>385</v>
      </c>
      <c r="C584" s="19" t="s">
        <v>98</v>
      </c>
      <c r="D584" s="19" t="s">
        <v>1010</v>
      </c>
      <c r="E584" s="25" t="s">
        <v>967</v>
      </c>
      <c r="F584" s="25" t="s">
        <v>977</v>
      </c>
      <c r="G584" s="25" t="s">
        <v>96</v>
      </c>
      <c r="H584" s="26">
        <v>42339</v>
      </c>
      <c r="I584" s="25">
        <v>123</v>
      </c>
      <c r="J584" s="25" t="s">
        <v>261</v>
      </c>
      <c r="K584" s="27">
        <v>4613157.3669999996</v>
      </c>
      <c r="L584" s="25">
        <v>215</v>
      </c>
      <c r="M584" s="27">
        <v>58.278516279069734</v>
      </c>
      <c r="N584" s="27">
        <v>59.526499999999999</v>
      </c>
      <c r="O584" s="27">
        <v>67.447469491750411</v>
      </c>
      <c r="P584" s="27">
        <v>2682.6840000000002</v>
      </c>
      <c r="Q584" s="27">
        <v>2616.63</v>
      </c>
      <c r="R584" s="27">
        <v>576777.05499999982</v>
      </c>
      <c r="S584" s="27">
        <f t="shared" ref="S584:S603" si="9">R584/K584</f>
        <v>0.12502869707544487</v>
      </c>
    </row>
    <row r="585" spans="1:19" x14ac:dyDescent="0.25">
      <c r="A585" s="19">
        <v>578</v>
      </c>
      <c r="B585" s="19" t="s">
        <v>385</v>
      </c>
      <c r="C585" s="19" t="s">
        <v>98</v>
      </c>
      <c r="D585" s="19" t="s">
        <v>1010</v>
      </c>
      <c r="E585" s="25" t="s">
        <v>967</v>
      </c>
      <c r="F585" s="25" t="s">
        <v>978</v>
      </c>
      <c r="G585" s="25" t="s">
        <v>97</v>
      </c>
      <c r="H585" s="26">
        <v>42339</v>
      </c>
      <c r="I585" s="25">
        <v>124</v>
      </c>
      <c r="J585" s="25" t="s">
        <v>367</v>
      </c>
      <c r="K585" s="27">
        <v>4649015.6129999999</v>
      </c>
      <c r="L585" s="25">
        <v>184</v>
      </c>
      <c r="M585" s="27">
        <v>54.973331521739098</v>
      </c>
      <c r="N585" s="27">
        <v>56.357500000000002</v>
      </c>
      <c r="O585" s="27">
        <v>73.066179721027581</v>
      </c>
      <c r="P585" s="27">
        <v>2553.692</v>
      </c>
      <c r="Q585" s="27">
        <v>2423.7440000000001</v>
      </c>
      <c r="R585" s="27">
        <v>469879.34599999984</v>
      </c>
      <c r="S585" s="27">
        <f t="shared" si="9"/>
        <v>0.10107071800018923</v>
      </c>
    </row>
    <row r="586" spans="1:19" x14ac:dyDescent="0.25">
      <c r="A586" s="19">
        <v>579</v>
      </c>
      <c r="B586" s="19" t="s">
        <v>385</v>
      </c>
      <c r="C586" s="19" t="s">
        <v>98</v>
      </c>
      <c r="D586" s="19" t="s">
        <v>1010</v>
      </c>
      <c r="E586" s="25" t="s">
        <v>967</v>
      </c>
      <c r="F586" s="25" t="s">
        <v>979</v>
      </c>
      <c r="G586" s="25" t="s">
        <v>96</v>
      </c>
      <c r="H586" s="26">
        <v>42339</v>
      </c>
      <c r="I586" s="25">
        <v>124</v>
      </c>
      <c r="J586" s="32" t="s">
        <v>1015</v>
      </c>
      <c r="K586" s="27">
        <v>3482443.4640000002</v>
      </c>
      <c r="L586" s="25">
        <v>117</v>
      </c>
      <c r="M586" s="27">
        <v>57.544247863247854</v>
      </c>
      <c r="N586" s="27">
        <v>56.282499999999999</v>
      </c>
      <c r="O586" s="27">
        <v>72.423986211176782</v>
      </c>
      <c r="P586" s="27">
        <v>2653.6</v>
      </c>
      <c r="Q586" s="27">
        <v>2367.85</v>
      </c>
      <c r="R586" s="27">
        <v>310471.18699999998</v>
      </c>
      <c r="S586" s="27">
        <f t="shared" si="9"/>
        <v>8.9153259833079077E-2</v>
      </c>
    </row>
    <row r="587" spans="1:19" x14ac:dyDescent="0.25">
      <c r="A587" s="19">
        <v>580</v>
      </c>
      <c r="B587" s="19" t="s">
        <v>385</v>
      </c>
      <c r="C587" s="19" t="s">
        <v>98</v>
      </c>
      <c r="D587" s="19" t="s">
        <v>1010</v>
      </c>
      <c r="E587" s="25" t="s">
        <v>967</v>
      </c>
      <c r="F587" s="25" t="s">
        <v>980</v>
      </c>
      <c r="G587" s="25" t="s">
        <v>96</v>
      </c>
      <c r="H587" s="26">
        <v>42339</v>
      </c>
      <c r="I587" s="25">
        <v>159</v>
      </c>
      <c r="J587" s="25" t="s">
        <v>365</v>
      </c>
      <c r="K587" s="27">
        <v>4776804.1260000002</v>
      </c>
      <c r="L587" s="25">
        <v>233</v>
      </c>
      <c r="M587" s="27">
        <v>51.581918454935625</v>
      </c>
      <c r="N587" s="27">
        <v>53.492000000000004</v>
      </c>
      <c r="O587" s="27">
        <v>61.818795138466989</v>
      </c>
      <c r="P587" s="27">
        <v>2111.1950000000002</v>
      </c>
      <c r="Q587" s="27">
        <v>2200.2849999999999</v>
      </c>
      <c r="R587" s="27">
        <v>491908.32699999987</v>
      </c>
      <c r="S587" s="27">
        <f t="shared" si="9"/>
        <v>0.10297854256207781</v>
      </c>
    </row>
    <row r="588" spans="1:19" x14ac:dyDescent="0.25">
      <c r="A588" s="19">
        <v>581</v>
      </c>
      <c r="B588" s="19" t="s">
        <v>385</v>
      </c>
      <c r="C588" s="19" t="s">
        <v>98</v>
      </c>
      <c r="D588" s="19" t="s">
        <v>1010</v>
      </c>
      <c r="E588" s="25" t="s">
        <v>967</v>
      </c>
      <c r="F588" s="25" t="s">
        <v>981</v>
      </c>
      <c r="G588" s="25" t="s">
        <v>96</v>
      </c>
      <c r="H588" s="26">
        <v>42340</v>
      </c>
      <c r="I588" s="25">
        <v>183</v>
      </c>
      <c r="J588" s="25" t="s">
        <v>139</v>
      </c>
      <c r="K588" s="27">
        <v>3323208.2429999998</v>
      </c>
      <c r="L588" s="25">
        <v>134</v>
      </c>
      <c r="M588" s="27">
        <v>53.36524627</v>
      </c>
      <c r="N588" s="27">
        <v>53.7515</v>
      </c>
      <c r="O588" s="27">
        <v>67.506046299999994</v>
      </c>
      <c r="P588" s="27">
        <v>2284.172</v>
      </c>
      <c r="Q588" s="27">
        <v>2151.1585</v>
      </c>
      <c r="R588" s="27">
        <v>306079.02299999999</v>
      </c>
      <c r="S588" s="27">
        <f t="shared" si="9"/>
        <v>9.2103473697359869E-2</v>
      </c>
    </row>
    <row r="589" spans="1:19" x14ac:dyDescent="0.25">
      <c r="A589" s="19">
        <v>582</v>
      </c>
      <c r="B589" s="19" t="s">
        <v>385</v>
      </c>
      <c r="C589" s="19" t="s">
        <v>98</v>
      </c>
      <c r="D589" s="19" t="s">
        <v>1010</v>
      </c>
      <c r="E589" s="25" t="s">
        <v>967</v>
      </c>
      <c r="F589" s="25" t="s">
        <v>983</v>
      </c>
      <c r="G589" s="25" t="s">
        <v>96</v>
      </c>
      <c r="H589" s="26">
        <v>42341</v>
      </c>
      <c r="I589" s="25">
        <v>184</v>
      </c>
      <c r="J589" s="25" t="s">
        <v>367</v>
      </c>
      <c r="K589" s="27">
        <v>4223707.6710000001</v>
      </c>
      <c r="L589" s="25">
        <v>207</v>
      </c>
      <c r="M589" s="27">
        <v>47.282944440000001</v>
      </c>
      <c r="N589" s="27">
        <v>48.773499999999999</v>
      </c>
      <c r="O589" s="27">
        <v>64.684467870000006</v>
      </c>
      <c r="P589" s="27">
        <v>1904.4639999999999</v>
      </c>
      <c r="Q589" s="27">
        <v>1784.6389999999999</v>
      </c>
      <c r="R589" s="27">
        <v>394224.13400000002</v>
      </c>
      <c r="S589" s="27">
        <f t="shared" si="9"/>
        <v>9.333603665489093E-2</v>
      </c>
    </row>
    <row r="590" spans="1:19" x14ac:dyDescent="0.25">
      <c r="A590" s="19">
        <v>583</v>
      </c>
      <c r="B590" s="19" t="s">
        <v>385</v>
      </c>
      <c r="C590" s="19" t="s">
        <v>98</v>
      </c>
      <c r="D590" s="19" t="s">
        <v>1010</v>
      </c>
      <c r="E590" s="25" t="s">
        <v>967</v>
      </c>
      <c r="F590" s="25" t="s">
        <v>982</v>
      </c>
      <c r="G590" s="25" t="s">
        <v>97</v>
      </c>
      <c r="H590" s="26">
        <v>42341</v>
      </c>
      <c r="I590" s="25">
        <v>184</v>
      </c>
      <c r="J590" s="32" t="s">
        <v>1015</v>
      </c>
      <c r="K590" s="27">
        <v>2832194.2170000002</v>
      </c>
      <c r="L590" s="25">
        <v>163</v>
      </c>
      <c r="M590" s="27">
        <v>56.235506129999997</v>
      </c>
      <c r="N590" s="27">
        <v>59.737499999999997</v>
      </c>
      <c r="O590" s="27">
        <v>80.570750200000006</v>
      </c>
      <c r="P590" s="27">
        <v>2765.3670000000002</v>
      </c>
      <c r="Q590" s="27">
        <v>2656.7710000000002</v>
      </c>
      <c r="R590" s="27">
        <v>450754.74400000001</v>
      </c>
      <c r="S590" s="27">
        <f t="shared" si="9"/>
        <v>0.15915389604794181</v>
      </c>
    </row>
    <row r="591" spans="1:19" x14ac:dyDescent="0.25">
      <c r="A591" s="19">
        <v>584</v>
      </c>
      <c r="B591" s="19" t="s">
        <v>385</v>
      </c>
      <c r="C591" s="19" t="s">
        <v>98</v>
      </c>
      <c r="D591" s="19" t="s">
        <v>1010</v>
      </c>
      <c r="E591" s="25" t="s">
        <v>967</v>
      </c>
      <c r="F591" s="25" t="s">
        <v>984</v>
      </c>
      <c r="G591" s="25" t="s">
        <v>96</v>
      </c>
      <c r="H591" s="26">
        <v>42342</v>
      </c>
      <c r="I591" s="25">
        <v>185</v>
      </c>
      <c r="J591" s="25" t="s">
        <v>378</v>
      </c>
      <c r="K591" s="27">
        <v>4317182.4309999999</v>
      </c>
      <c r="L591" s="25">
        <v>151</v>
      </c>
      <c r="M591" s="27">
        <v>52.335817880794686</v>
      </c>
      <c r="N591" s="27">
        <v>51.971499999999999</v>
      </c>
      <c r="O591" s="27">
        <v>76.346988928035103</v>
      </c>
      <c r="P591" s="27">
        <v>2399.6619999999998</v>
      </c>
      <c r="Q591" s="27">
        <v>2077.2950000000001</v>
      </c>
      <c r="R591" s="27">
        <v>362348.94500000012</v>
      </c>
      <c r="S591" s="27">
        <f t="shared" si="9"/>
        <v>8.3931812192626826E-2</v>
      </c>
    </row>
    <row r="592" spans="1:19" x14ac:dyDescent="0.25">
      <c r="A592" s="19">
        <v>585</v>
      </c>
      <c r="B592" s="19" t="s">
        <v>385</v>
      </c>
      <c r="C592" s="19" t="s">
        <v>98</v>
      </c>
      <c r="D592" s="19" t="s">
        <v>1010</v>
      </c>
      <c r="E592" s="25" t="s">
        <v>967</v>
      </c>
      <c r="F592" s="25" t="s">
        <v>985</v>
      </c>
      <c r="G592" s="25" t="s">
        <v>97</v>
      </c>
      <c r="H592" s="26">
        <v>42342</v>
      </c>
      <c r="I592" s="25">
        <v>186</v>
      </c>
      <c r="J592" s="25" t="s">
        <v>157</v>
      </c>
      <c r="K592" s="27">
        <v>4791623.608</v>
      </c>
      <c r="L592" s="25">
        <v>192</v>
      </c>
      <c r="M592" s="27">
        <v>66.926429687500033</v>
      </c>
      <c r="N592" s="27">
        <v>68.708749999999995</v>
      </c>
      <c r="O592" s="27">
        <v>93.22042801618521</v>
      </c>
      <c r="P592" s="27">
        <v>3798.1849999999999</v>
      </c>
      <c r="Q592" s="27">
        <v>3530.0704999999998</v>
      </c>
      <c r="R592" s="27">
        <v>729251.56599999964</v>
      </c>
      <c r="S592" s="27">
        <f t="shared" si="9"/>
        <v>0.152192998795326</v>
      </c>
    </row>
    <row r="593" spans="1:19" x14ac:dyDescent="0.25">
      <c r="A593" s="19">
        <v>586</v>
      </c>
      <c r="B593" s="19" t="s">
        <v>385</v>
      </c>
      <c r="C593" s="19" t="s">
        <v>98</v>
      </c>
      <c r="D593" s="19" t="s">
        <v>1010</v>
      </c>
      <c r="E593" s="25" t="s">
        <v>967</v>
      </c>
      <c r="F593" s="25" t="s">
        <v>986</v>
      </c>
      <c r="G593" s="25" t="s">
        <v>96</v>
      </c>
      <c r="H593" s="26">
        <v>42341</v>
      </c>
      <c r="I593" s="25">
        <v>188</v>
      </c>
      <c r="J593" s="25" t="s">
        <v>367</v>
      </c>
      <c r="K593" s="27">
        <v>4573016.1730000004</v>
      </c>
      <c r="L593" s="25">
        <v>218</v>
      </c>
      <c r="M593" s="27">
        <v>52.222114678899111</v>
      </c>
      <c r="N593" s="27">
        <v>53.909750000000003</v>
      </c>
      <c r="O593" s="27">
        <v>71.420825856074899</v>
      </c>
      <c r="P593" s="27">
        <v>2344.1039999999998</v>
      </c>
      <c r="Q593" s="27">
        <v>2186.165</v>
      </c>
      <c r="R593" s="27">
        <v>511014.71699999948</v>
      </c>
      <c r="S593" s="27">
        <f t="shared" si="9"/>
        <v>0.11174566143394206</v>
      </c>
    </row>
    <row r="594" spans="1:19" x14ac:dyDescent="0.25">
      <c r="A594" s="19">
        <v>587</v>
      </c>
      <c r="B594" s="19" t="s">
        <v>385</v>
      </c>
      <c r="C594" s="19" t="s">
        <v>98</v>
      </c>
      <c r="D594" s="19" t="s">
        <v>1010</v>
      </c>
      <c r="E594" s="25" t="s">
        <v>967</v>
      </c>
      <c r="F594" s="25" t="s">
        <v>987</v>
      </c>
      <c r="G594" s="25" t="s">
        <v>96</v>
      </c>
      <c r="H594" s="26">
        <v>42341</v>
      </c>
      <c r="I594" s="25">
        <v>189</v>
      </c>
      <c r="J594" s="25" t="s">
        <v>150</v>
      </c>
      <c r="K594" s="27">
        <v>4601727.2280000001</v>
      </c>
      <c r="L594" s="25">
        <v>61</v>
      </c>
      <c r="M594" s="27">
        <v>87.730655740000003</v>
      </c>
      <c r="N594" s="27">
        <v>89.793499999999995</v>
      </c>
      <c r="O594" s="27">
        <v>117.56630370000001</v>
      </c>
      <c r="P594" s="27">
        <v>6460.7929999999997</v>
      </c>
      <c r="Q594" s="27">
        <v>6223.2489999999998</v>
      </c>
      <c r="R594" s="27">
        <v>394108.38099999999</v>
      </c>
      <c r="S594" s="27">
        <f t="shared" si="9"/>
        <v>8.5643577177278093E-2</v>
      </c>
    </row>
    <row r="595" spans="1:19" x14ac:dyDescent="0.25">
      <c r="A595" s="19">
        <v>588</v>
      </c>
      <c r="B595" s="19" t="s">
        <v>385</v>
      </c>
      <c r="C595" s="19" t="s">
        <v>98</v>
      </c>
      <c r="D595" s="19" t="s">
        <v>1010</v>
      </c>
      <c r="E595" s="25" t="s">
        <v>967</v>
      </c>
      <c r="F595" s="25" t="s">
        <v>988</v>
      </c>
      <c r="G595" s="25" t="s">
        <v>96</v>
      </c>
      <c r="H595" s="26">
        <v>42340</v>
      </c>
      <c r="I595" s="25">
        <v>193</v>
      </c>
      <c r="J595" s="25" t="s">
        <v>158</v>
      </c>
      <c r="K595" s="27">
        <v>3649245.49</v>
      </c>
      <c r="L595" s="25">
        <v>191</v>
      </c>
      <c r="M595" s="27">
        <v>52.858986910994787</v>
      </c>
      <c r="N595" s="27">
        <v>54.724000000000004</v>
      </c>
      <c r="O595" s="27">
        <v>69.972018133099809</v>
      </c>
      <c r="P595" s="27">
        <v>2303.645</v>
      </c>
      <c r="Q595" s="27">
        <v>2264.4639999999999</v>
      </c>
      <c r="R595" s="27">
        <v>439996.26999999979</v>
      </c>
      <c r="S595" s="27">
        <f t="shared" si="9"/>
        <v>0.12057184730534523</v>
      </c>
    </row>
    <row r="596" spans="1:19" x14ac:dyDescent="0.25">
      <c r="A596" s="19">
        <v>589</v>
      </c>
      <c r="B596" s="19" t="s">
        <v>385</v>
      </c>
      <c r="C596" s="19" t="s">
        <v>98</v>
      </c>
      <c r="D596" s="19" t="s">
        <v>1010</v>
      </c>
      <c r="E596" s="25" t="s">
        <v>967</v>
      </c>
      <c r="F596" s="25" t="s">
        <v>989</v>
      </c>
      <c r="G596" s="25" t="s">
        <v>96</v>
      </c>
      <c r="H596" s="26">
        <v>42342</v>
      </c>
      <c r="I596" s="25">
        <v>194</v>
      </c>
      <c r="J596" s="25" t="s">
        <v>262</v>
      </c>
      <c r="K596" s="27">
        <v>5425300.7070000004</v>
      </c>
      <c r="L596" s="25">
        <v>213</v>
      </c>
      <c r="M596" s="27">
        <v>47.796976530000002</v>
      </c>
      <c r="N596" s="27">
        <v>45.400500000000001</v>
      </c>
      <c r="O596" s="27">
        <v>71.444465800000003</v>
      </c>
      <c r="P596" s="27">
        <v>1932.8150000000001</v>
      </c>
      <c r="Q596" s="27">
        <v>1517.1880000000001</v>
      </c>
      <c r="R596" s="27">
        <v>411689.65399999998</v>
      </c>
      <c r="S596" s="27">
        <f t="shared" si="9"/>
        <v>7.5883287624742515E-2</v>
      </c>
    </row>
    <row r="597" spans="1:19" x14ac:dyDescent="0.25">
      <c r="A597" s="19">
        <v>590</v>
      </c>
      <c r="B597" s="19" t="s">
        <v>385</v>
      </c>
      <c r="C597" s="19" t="s">
        <v>98</v>
      </c>
      <c r="D597" s="19" t="s">
        <v>1010</v>
      </c>
      <c r="E597" s="25" t="s">
        <v>967</v>
      </c>
      <c r="F597" s="25" t="s">
        <v>990</v>
      </c>
      <c r="G597" s="25" t="s">
        <v>96</v>
      </c>
      <c r="H597" s="26">
        <v>42342</v>
      </c>
      <c r="I597" s="25">
        <v>195</v>
      </c>
      <c r="J597" s="25" t="s">
        <v>232</v>
      </c>
      <c r="K597" s="27">
        <v>3437973.8149999999</v>
      </c>
      <c r="L597" s="25">
        <v>342</v>
      </c>
      <c r="M597" s="27">
        <v>43.925191519999998</v>
      </c>
      <c r="N597" s="27">
        <v>44.311750000000004</v>
      </c>
      <c r="O597" s="27">
        <v>51.208953530000002</v>
      </c>
      <c r="P597" s="27">
        <v>1477.5619999999999</v>
      </c>
      <c r="Q597" s="27">
        <v>1428.9715000000001</v>
      </c>
      <c r="R597" s="27">
        <v>505326.13699999999</v>
      </c>
      <c r="S597" s="27">
        <f t="shared" si="9"/>
        <v>0.14698370732064461</v>
      </c>
    </row>
    <row r="598" spans="1:19" x14ac:dyDescent="0.25">
      <c r="A598" s="19">
        <v>591</v>
      </c>
      <c r="B598" s="19" t="s">
        <v>385</v>
      </c>
      <c r="C598" s="19" t="s">
        <v>98</v>
      </c>
      <c r="D598" s="19" t="s">
        <v>1010</v>
      </c>
      <c r="E598" s="25" t="s">
        <v>967</v>
      </c>
      <c r="F598" s="25" t="s">
        <v>994</v>
      </c>
      <c r="G598" s="25" t="s">
        <v>97</v>
      </c>
      <c r="H598" s="26">
        <v>42342</v>
      </c>
      <c r="I598" s="25">
        <v>246</v>
      </c>
      <c r="J598" s="25" t="s">
        <v>367</v>
      </c>
      <c r="K598" s="27">
        <v>4255715.8859999999</v>
      </c>
      <c r="L598" s="25">
        <v>229</v>
      </c>
      <c r="M598" s="27">
        <v>48.917910480000003</v>
      </c>
      <c r="N598" s="27">
        <v>50.853000000000002</v>
      </c>
      <c r="O598" s="27">
        <v>72.523969989999998</v>
      </c>
      <c r="P598" s="27">
        <v>2111.8249999999998</v>
      </c>
      <c r="Q598" s="27">
        <v>1891.5260000000001</v>
      </c>
      <c r="R598" s="27">
        <v>483608.01799999998</v>
      </c>
      <c r="S598" s="27">
        <f t="shared" si="9"/>
        <v>0.11363728946072787</v>
      </c>
    </row>
    <row r="599" spans="1:19" x14ac:dyDescent="0.25">
      <c r="A599" s="19">
        <v>592</v>
      </c>
      <c r="B599" s="19" t="s">
        <v>385</v>
      </c>
      <c r="C599" s="19" t="s">
        <v>98</v>
      </c>
      <c r="D599" s="19" t="s">
        <v>1010</v>
      </c>
      <c r="E599" s="25" t="s">
        <v>967</v>
      </c>
      <c r="F599" s="25" t="s">
        <v>991</v>
      </c>
      <c r="G599" s="25" t="s">
        <v>96</v>
      </c>
      <c r="H599" s="26">
        <v>42340</v>
      </c>
      <c r="I599" s="25">
        <v>2138</v>
      </c>
      <c r="J599" s="25" t="s">
        <v>146</v>
      </c>
      <c r="K599" s="27">
        <v>4977644.2860000003</v>
      </c>
      <c r="L599" s="25">
        <v>204</v>
      </c>
      <c r="M599" s="27">
        <v>57.756678921568636</v>
      </c>
      <c r="N599" s="27">
        <v>61.233249999999998</v>
      </c>
      <c r="O599" s="27">
        <v>81.706843867617152</v>
      </c>
      <c r="P599" s="27">
        <v>2962.2950000000001</v>
      </c>
      <c r="Q599" s="27">
        <v>2865.8775000000001</v>
      </c>
      <c r="R599" s="27">
        <v>604308.15699999977</v>
      </c>
      <c r="S599" s="27">
        <f t="shared" si="9"/>
        <v>0.12140444802366895</v>
      </c>
    </row>
    <row r="600" spans="1:19" x14ac:dyDescent="0.25">
      <c r="A600" s="19">
        <v>593</v>
      </c>
      <c r="B600" s="19" t="s">
        <v>385</v>
      </c>
      <c r="C600" s="19" t="s">
        <v>98</v>
      </c>
      <c r="D600" s="19" t="s">
        <v>1010</v>
      </c>
      <c r="E600" s="25" t="s">
        <v>967</v>
      </c>
      <c r="F600" s="25" t="s">
        <v>992</v>
      </c>
      <c r="G600" s="25" t="s">
        <v>97</v>
      </c>
      <c r="H600" s="26">
        <v>42339</v>
      </c>
      <c r="I600" s="25">
        <v>2139</v>
      </c>
      <c r="J600" s="25" t="s">
        <v>312</v>
      </c>
      <c r="K600" s="27">
        <v>4574665.4529999997</v>
      </c>
      <c r="L600" s="25">
        <v>175</v>
      </c>
      <c r="M600" s="27">
        <v>69.170359999999988</v>
      </c>
      <c r="N600" s="27">
        <v>73.3</v>
      </c>
      <c r="O600" s="27">
        <v>95.346472601670342</v>
      </c>
      <c r="P600" s="27">
        <v>4132.433</v>
      </c>
      <c r="Q600" s="27">
        <v>4092.9780000000001</v>
      </c>
      <c r="R600" s="27">
        <v>723175.79899999942</v>
      </c>
      <c r="S600" s="27">
        <f t="shared" si="9"/>
        <v>0.15808277270324786</v>
      </c>
    </row>
    <row r="601" spans="1:19" x14ac:dyDescent="0.25">
      <c r="A601" s="19">
        <v>594</v>
      </c>
      <c r="B601" s="19" t="s">
        <v>385</v>
      </c>
      <c r="C601" s="19" t="s">
        <v>98</v>
      </c>
      <c r="D601" s="19" t="s">
        <v>1010</v>
      </c>
      <c r="E601" s="25" t="s">
        <v>967</v>
      </c>
      <c r="F601" s="25" t="s">
        <v>993</v>
      </c>
      <c r="G601" s="25" t="s">
        <v>97</v>
      </c>
      <c r="H601" s="26">
        <v>42341</v>
      </c>
      <c r="I601" s="25">
        <v>2142</v>
      </c>
      <c r="J601" s="25" t="s">
        <v>259</v>
      </c>
      <c r="K601" s="27">
        <v>4592480.3380000005</v>
      </c>
      <c r="L601" s="25">
        <v>47</v>
      </c>
      <c r="M601" s="27">
        <v>105.81445744680852</v>
      </c>
      <c r="N601" s="27">
        <v>109.49350000000001</v>
      </c>
      <c r="O601" s="27">
        <v>128.9278708981181</v>
      </c>
      <c r="P601" s="27">
        <v>9166.5740000000005</v>
      </c>
      <c r="Q601" s="27">
        <v>9203.2489999999998</v>
      </c>
      <c r="R601" s="27">
        <v>430828.96</v>
      </c>
      <c r="S601" s="27">
        <f t="shared" si="9"/>
        <v>9.3811824611452474E-2</v>
      </c>
    </row>
    <row r="602" spans="1:19" x14ac:dyDescent="0.25">
      <c r="A602" s="19">
        <v>595</v>
      </c>
      <c r="B602" s="19" t="s">
        <v>385</v>
      </c>
      <c r="C602" s="19" t="s">
        <v>98</v>
      </c>
      <c r="D602" s="19" t="s">
        <v>1010</v>
      </c>
      <c r="E602" s="25" t="s">
        <v>967</v>
      </c>
      <c r="F602" s="25" t="s">
        <v>995</v>
      </c>
      <c r="G602" s="25" t="s">
        <v>96</v>
      </c>
      <c r="H602" s="26">
        <v>42339</v>
      </c>
      <c r="I602" s="25">
        <v>3694</v>
      </c>
      <c r="J602" s="25" t="s">
        <v>165</v>
      </c>
      <c r="K602" s="27">
        <v>5715648.4400000004</v>
      </c>
      <c r="L602" s="25">
        <v>106</v>
      </c>
      <c r="M602" s="27">
        <v>68.345080188679205</v>
      </c>
      <c r="N602" s="27">
        <v>67.042000000000002</v>
      </c>
      <c r="O602" s="27">
        <v>114.08825720716354</v>
      </c>
      <c r="P602" s="27">
        <v>4409.7089999999998</v>
      </c>
      <c r="Q602" s="27">
        <v>3265.8874999999998</v>
      </c>
      <c r="R602" s="27">
        <v>467429.11</v>
      </c>
      <c r="S602" s="27">
        <f t="shared" si="9"/>
        <v>8.1780591459890417E-2</v>
      </c>
    </row>
    <row r="603" spans="1:19" x14ac:dyDescent="0.25">
      <c r="A603" s="19">
        <v>596</v>
      </c>
      <c r="B603" s="19" t="s">
        <v>385</v>
      </c>
      <c r="C603" s="19" t="s">
        <v>98</v>
      </c>
      <c r="D603" s="19" t="s">
        <v>1010</v>
      </c>
      <c r="E603" s="25" t="s">
        <v>967</v>
      </c>
      <c r="F603" s="25" t="s">
        <v>996</v>
      </c>
      <c r="G603" s="25" t="s">
        <v>96</v>
      </c>
      <c r="H603" s="26">
        <v>42341</v>
      </c>
      <c r="I603" s="25">
        <v>3706</v>
      </c>
      <c r="J603" s="25" t="s">
        <v>186</v>
      </c>
      <c r="K603" s="27">
        <v>4544486.6859999998</v>
      </c>
      <c r="L603" s="25">
        <v>144</v>
      </c>
      <c r="M603" s="27">
        <v>69.48308333333334</v>
      </c>
      <c r="N603" s="27">
        <v>71.475750000000005</v>
      </c>
      <c r="O603" s="27">
        <v>2.2809381907889669E-8</v>
      </c>
      <c r="P603" s="27">
        <v>3910.288</v>
      </c>
      <c r="Q603" s="27">
        <v>3760.6480000000001</v>
      </c>
      <c r="R603" s="27">
        <v>563081.51700000023</v>
      </c>
      <c r="S603" s="27">
        <f t="shared" si="9"/>
        <v>0.12390431657213578</v>
      </c>
    </row>
  </sheetData>
  <phoneticPr fontId="1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Taxa</vt:lpstr>
      <vt:lpstr>Locations</vt:lpstr>
      <vt:lpstr>Wood_anatomical_traits</vt:lpstr>
    </vt:vector>
  </TitlesOfParts>
  <Company>UNE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Sabine Both</dc:creator>
  <cp:lastModifiedBy>Rob Ewers</cp:lastModifiedBy>
  <dcterms:created xsi:type="dcterms:W3CDTF">2019-07-23T05:28:13Z</dcterms:created>
  <dcterms:modified xsi:type="dcterms:W3CDTF">2021-09-17T14:54:11Z</dcterms:modified>
</cp:coreProperties>
</file>